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tinerary" sheetId="1" state="visible" r:id="rId1"/>
    <sheet name="Budget Summary" sheetId="2" state="visible" r:id="rId2"/>
    <sheet name="Waktu Solat Rujuka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C00000"/>
      <sz val="10"/>
    </font>
  </fonts>
  <fills count="8">
    <fill>
      <patternFill/>
    </fill>
    <fill>
      <patternFill patternType="gray125"/>
    </fill>
    <fill>
      <patternFill patternType="solid">
        <fgColor rgb="FF2B4C7E"/>
        <bgColor rgb="FF003366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3" fontId="6" fillId="7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left" vertical="center" wrapText="1"/>
    </xf>
    <xf numFmtId="3" fontId="6" fillId="7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4C7E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8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12" customWidth="1" style="22" min="2" max="2"/>
    <col width="9" customWidth="1" style="22" min="3" max="3"/>
    <col width="42" customWidth="1" style="22" min="4" max="4"/>
    <col width="14" customWidth="1" style="22" min="5" max="6"/>
    <col width="30" customWidth="1" style="22" min="7" max="7"/>
    <col width="15" customWidth="1" style="22" min="8" max="8"/>
    <col width="12" customWidth="1" style="22" min="9" max="10"/>
  </cols>
  <sheetData>
    <row r="1" ht="26.85" customHeight="1" s="23">
      <c r="A1" s="24" t="inlineStr">
        <is>
          <t>Hari</t>
        </is>
      </c>
      <c r="B1" s="24" t="inlineStr">
        <is>
          <t>Tarikh</t>
        </is>
      </c>
      <c r="C1" s="24" t="inlineStr">
        <is>
          <t>Masa</t>
        </is>
      </c>
      <c r="D1" s="24" t="inlineStr">
        <is>
          <t>Aktiviti / Lokasi</t>
        </is>
      </c>
      <c r="E1" s="24" t="inlineStr">
        <is>
          <t>Solat</t>
        </is>
      </c>
      <c r="F1" s="24" t="inlineStr">
        <is>
          <t>Makan (Halal)</t>
        </is>
      </c>
      <c r="G1" s="24" t="inlineStr">
        <is>
          <t>Transport / Nota</t>
        </is>
      </c>
      <c r="H1" s="24" t="inlineStr">
        <is>
          <t>Kategori</t>
        </is>
      </c>
      <c r="I1" s="24" t="inlineStr">
        <is>
          <t>Kos/orang (¥)</t>
        </is>
      </c>
      <c r="J1" s="24" t="inlineStr">
        <is>
          <t>Kos/orang (₩)</t>
        </is>
      </c>
    </row>
    <row r="2" ht="27.75" customHeight="1" s="23">
      <c r="A2" s="25" t="inlineStr">
        <is>
          <t>1
(Rabu)</t>
        </is>
      </c>
      <c r="B2" s="25" t="inlineStr">
        <is>
          <t>6 Jan 2027</t>
        </is>
      </c>
      <c r="C2" s="25" t="inlineStr">
        <is>
          <t>09:15</t>
        </is>
      </c>
      <c r="D2" s="25" t="inlineStr">
        <is>
          <t>Landed KIX (Peach MM712, confirmed — pagi, BUKAN malam)</t>
        </is>
      </c>
      <c r="E2" s="25" t="n"/>
      <c r="F2" s="25" t="n"/>
      <c r="G2" s="25" t="n"/>
      <c r="H2" s="25" t="n"/>
      <c r="I2" s="26" t="n"/>
      <c r="J2" s="26" t="n"/>
    </row>
    <row r="3" ht="27.75" customHeight="1" s="23">
      <c r="A3" s="25" t="inlineStr">
        <is>
          <t>1</t>
        </is>
      </c>
      <c r="B3" s="25" t="inlineStr">
        <is>
          <t>6 Jan 2027</t>
        </is>
      </c>
      <c r="C3" s="25" t="inlineStr">
        <is>
          <t>09:15</t>
        </is>
      </c>
      <c r="D3" s="25" t="inlineStr">
        <is>
          <t>Imigresen + bagasi</t>
        </is>
      </c>
      <c r="E3" s="25" t="n"/>
      <c r="F3" s="25" t="n"/>
      <c r="G3" s="25" t="inlineStr">
        <is>
          <t>~30-45min</t>
        </is>
      </c>
      <c r="H3" s="25" t="n"/>
      <c r="I3" s="26" t="n"/>
      <c r="J3" s="26" t="n"/>
    </row>
    <row r="4" ht="27.75" customHeight="1" s="23">
      <c r="A4" s="25" t="inlineStr">
        <is>
          <t>1</t>
        </is>
      </c>
      <c r="B4" s="25" t="inlineStr">
        <is>
          <t>6 Jan 2027</t>
        </is>
      </c>
      <c r="C4" s="25" t="inlineStr">
        <is>
          <t>10:15</t>
        </is>
      </c>
      <c r="D4" s="25" t="inlineStr">
        <is>
          <t>Nankai Airport Express → Namba</t>
        </is>
      </c>
      <c r="E4" s="25" t="n"/>
      <c r="F4" s="25" t="n"/>
      <c r="G4" s="25" t="inlineStr">
        <is>
          <t>Nankai Airport Express, ¥970, ~45min</t>
        </is>
      </c>
      <c r="H4" s="25" t="inlineStr">
        <is>
          <t>Transport</t>
        </is>
      </c>
      <c r="I4" s="26" t="n">
        <v>970</v>
      </c>
      <c r="J4" s="26">
        <f>I4*'Budget Summary'!$B$2</f>
        <v/>
      </c>
    </row>
    <row r="5" ht="27.75" customHeight="1" s="23">
      <c r="A5" s="25" t="inlineStr">
        <is>
          <t>1</t>
        </is>
      </c>
      <c r="B5" s="25" t="inlineStr">
        <is>
          <t>6 Jan 2027</t>
        </is>
      </c>
      <c r="C5" s="25" t="inlineStr">
        <is>
          <t>11:00</t>
        </is>
      </c>
      <c r="D5" s="25" t="inlineStr">
        <is>
          <t>Sampai Namba — Kuromon Market (bags dulu, check-in guesthouse biasa 3pm)</t>
        </is>
      </c>
      <c r="E5" s="25" t="n"/>
      <c r="F5" s="25" t="n"/>
      <c r="G5" s="25" t="inlineStr">
        <is>
          <t>Simpan bagasi kat coin locker stesen kalau nak</t>
        </is>
      </c>
      <c r="H5" s="25" t="n"/>
      <c r="I5" s="26" t="n"/>
      <c r="J5" s="26" t="n"/>
    </row>
    <row r="6" ht="27.75" customHeight="1" s="23">
      <c r="A6" s="27" t="inlineStr">
        <is>
          <t>1</t>
        </is>
      </c>
      <c r="B6" s="27" t="inlineStr">
        <is>
          <t>6 Jan 2027</t>
        </is>
      </c>
      <c r="C6" s="27" t="inlineStr">
        <is>
          <t>12:00</t>
        </is>
      </c>
      <c r="D6" s="27" t="inlineStr">
        <is>
          <t>Zohor (kawasan Namba/Kuromon)</t>
        </is>
      </c>
      <c r="E6" s="27" t="inlineStr">
        <is>
          <t>Zohor 12:00</t>
        </is>
      </c>
      <c r="F6" s="27" t="n"/>
      <c r="G6" s="27" t="n"/>
      <c r="H6" s="27" t="n"/>
      <c r="I6" s="28" t="n"/>
      <c r="J6" s="28" t="n"/>
    </row>
    <row r="7" ht="27.75" customHeight="1" s="23">
      <c r="A7" s="25" t="inlineStr">
        <is>
          <t>1</t>
        </is>
      </c>
      <c r="B7" s="25" t="inlineStr">
        <is>
          <t>6 Jan 2027</t>
        </is>
      </c>
      <c r="C7" s="25" t="inlineStr">
        <is>
          <t>12:30</t>
        </is>
      </c>
      <c r="D7" s="25" t="inlineStr">
        <is>
          <t>Lunch — halal dekat Kuromon/Namba (guesthouse belum check-in)</t>
        </is>
      </c>
      <c r="E7" s="25" t="n"/>
      <c r="F7" s="25" t="inlineStr">
        <is>
          <t>Makan luar (halal)</t>
        </is>
      </c>
      <c r="G7" s="25" t="n"/>
      <c r="H7" s="25" t="inlineStr">
        <is>
          <t>Food-Luar</t>
        </is>
      </c>
      <c r="I7" s="26" t="n">
        <v>1500</v>
      </c>
      <c r="J7" s="26">
        <f>I7*'Budget Summary'!$B$2</f>
        <v/>
      </c>
    </row>
    <row r="8" ht="27.75" customHeight="1" s="23">
      <c r="A8" s="25" t="inlineStr">
        <is>
          <t>1</t>
        </is>
      </c>
      <c r="B8" s="25" t="inlineStr">
        <is>
          <t>6 Jan 2027</t>
        </is>
      </c>
      <c r="C8" s="25" t="inlineStr">
        <is>
          <t>14:00</t>
        </is>
      </c>
      <c r="D8" s="25" t="inlineStr">
        <is>
          <t>Check-in guesthouse, letak bagasi</t>
        </is>
      </c>
      <c r="E8" s="25" t="n"/>
      <c r="F8" s="25" t="n"/>
      <c r="G8" s="25" t="n"/>
      <c r="H8" s="25" t="n"/>
      <c r="I8" s="26" t="n"/>
      <c r="J8" s="26" t="n"/>
    </row>
    <row r="9" ht="27.75" customHeight="1" s="23">
      <c r="A9" s="27" t="inlineStr">
        <is>
          <t>1</t>
        </is>
      </c>
      <c r="B9" s="27" t="inlineStr">
        <is>
          <t>6 Jan 2027</t>
        </is>
      </c>
      <c r="C9" s="27" t="inlineStr">
        <is>
          <t>14:35</t>
        </is>
      </c>
      <c r="D9" s="27" t="inlineStr">
        <is>
          <t>Asar</t>
        </is>
      </c>
      <c r="E9" s="27" t="inlineStr">
        <is>
          <t>Asar 14:35</t>
        </is>
      </c>
      <c r="F9" s="27" t="n"/>
      <c r="G9" s="27" t="n"/>
      <c r="H9" s="27" t="n"/>
      <c r="I9" s="28" t="n"/>
      <c r="J9" s="28" t="n"/>
    </row>
    <row r="10" ht="27.75" customHeight="1" s="23">
      <c r="A10" s="25" t="inlineStr">
        <is>
          <t>1</t>
        </is>
      </c>
      <c r="B10" s="25" t="inlineStr">
        <is>
          <t>6 Jan 2027</t>
        </is>
      </c>
      <c r="C10" s="25" t="inlineStr">
        <is>
          <t>15:00</t>
        </is>
      </c>
      <c r="D10" s="25" t="inlineStr">
        <is>
          <t>Explore Namba/Shinsaibashi (santai, tak payah rush hari pertama)</t>
        </is>
      </c>
      <c r="E10" s="25" t="n"/>
      <c r="F10" s="25" t="n"/>
      <c r="G10" s="25" t="n"/>
      <c r="H10" s="25" t="n"/>
      <c r="I10" s="26" t="n"/>
      <c r="J10" s="26" t="n"/>
    </row>
    <row r="11" ht="27.75" customHeight="1" s="23">
      <c r="A11" s="27" t="inlineStr">
        <is>
          <t>1</t>
        </is>
      </c>
      <c r="B11" s="27" t="inlineStr">
        <is>
          <t>6 Jan 2027</t>
        </is>
      </c>
      <c r="C11" s="27" t="inlineStr">
        <is>
          <t>17:00</t>
        </is>
      </c>
      <c r="D11" s="27" t="inlineStr">
        <is>
          <t>Maghrib</t>
        </is>
      </c>
      <c r="E11" s="27" t="inlineStr">
        <is>
          <t>Maghrib 17:00</t>
        </is>
      </c>
      <c r="F11" s="27" t="n"/>
      <c r="G11" s="27" t="n"/>
      <c r="H11" s="27" t="n"/>
      <c r="I11" s="28" t="n"/>
      <c r="J11" s="28" t="n"/>
    </row>
    <row r="12" ht="27.75" customHeight="1" s="23">
      <c r="A12" s="25" t="inlineStr">
        <is>
          <t>1</t>
        </is>
      </c>
      <c r="B12" s="25" t="inlineStr">
        <is>
          <t>6 Jan 2027</t>
        </is>
      </c>
      <c r="C12" s="25" t="inlineStr">
        <is>
          <t>17:30</t>
        </is>
      </c>
      <c r="D12" s="25" t="inlineStr">
        <is>
          <t>Dinner — halal dekat Dotonbori/Namba</t>
        </is>
      </c>
      <c r="E12" s="25" t="n"/>
      <c r="F12" s="25" t="inlineStr">
        <is>
          <t>Makan luar (halal)</t>
        </is>
      </c>
      <c r="G12" s="25" t="n"/>
      <c r="H12" s="25" t="inlineStr">
        <is>
          <t>Food-Luar</t>
        </is>
      </c>
      <c r="I12" s="26" t="n">
        <v>1800</v>
      </c>
      <c r="J12" s="26">
        <f>I12*'Budget Summary'!$B$2</f>
        <v/>
      </c>
    </row>
    <row r="13" ht="27.75" customHeight="1" s="23">
      <c r="A13" s="27" t="inlineStr">
        <is>
          <t>1</t>
        </is>
      </c>
      <c r="B13" s="27" t="inlineStr">
        <is>
          <t>6 Jan 2027</t>
        </is>
      </c>
      <c r="C13" s="27" t="inlineStr">
        <is>
          <t>18:20</t>
        </is>
      </c>
      <c r="D13" s="27" t="inlineStr">
        <is>
          <t>Isyak</t>
        </is>
      </c>
      <c r="E13" s="27" t="inlineStr">
        <is>
          <t>Isyak 18:20</t>
        </is>
      </c>
      <c r="F13" s="27" t="n"/>
      <c r="G13" s="27" t="n"/>
      <c r="H13" s="27" t="n"/>
      <c r="I13" s="28" t="n"/>
      <c r="J13" s="28" t="n"/>
    </row>
    <row r="14" ht="27.75" customHeight="1" s="23">
      <c r="A14" s="25" t="inlineStr">
        <is>
          <t>1</t>
        </is>
      </c>
      <c r="B14" s="25" t="inlineStr">
        <is>
          <t>6 Jan 2027</t>
        </is>
      </c>
      <c r="C14" s="25" t="inlineStr">
        <is>
          <t>19:00</t>
        </is>
      </c>
      <c r="D14" s="25" t="inlineStr">
        <is>
          <t>Dotonbori night walk — Glico sign, canal, kushikatsu crawl (window-shop je kalau dah makan)</t>
        </is>
      </c>
      <c r="E14" s="25" t="n"/>
      <c r="F14" s="25" t="n"/>
      <c r="G14" s="25" t="n"/>
      <c r="H14" s="25" t="n"/>
      <c r="I14" s="26" t="n"/>
      <c r="J14" s="26" t="n"/>
    </row>
    <row r="15" ht="27.75" customHeight="1" s="23">
      <c r="A15" s="25" t="inlineStr">
        <is>
          <t>1</t>
        </is>
      </c>
      <c r="B15" s="25" t="inlineStr">
        <is>
          <t>6 Jan 2027</t>
        </is>
      </c>
      <c r="C15" s="25" t="inlineStr">
        <is>
          <t>21:30</t>
        </is>
      </c>
      <c r="D15" s="25" t="inlineStr">
        <is>
          <t>Balik guesthouse, rehat</t>
        </is>
      </c>
      <c r="E15" s="25" t="n"/>
      <c r="F15" s="25" t="n"/>
      <c r="G15" s="25" t="n"/>
      <c r="H15" s="25" t="n"/>
      <c r="I15" s="26" t="n"/>
      <c r="J15" s="26" t="n"/>
    </row>
    <row r="16" ht="27.75" customHeight="1" s="23">
      <c r="A16" s="27" t="inlineStr">
        <is>
          <t>2
(Khamis)</t>
        </is>
      </c>
      <c r="B16" s="27" t="inlineStr">
        <is>
          <t>7 Jan 2027</t>
        </is>
      </c>
      <c r="C16" s="27" t="inlineStr">
        <is>
          <t>05:38</t>
        </is>
      </c>
      <c r="D16" s="27" t="inlineStr">
        <is>
          <t>Subuh</t>
        </is>
      </c>
      <c r="E16" s="27" t="inlineStr">
        <is>
          <t>Subuh 05:38</t>
        </is>
      </c>
      <c r="F16" s="27" t="n"/>
      <c r="G16" s="27" t="n"/>
      <c r="H16" s="27" t="n"/>
      <c r="I16" s="28" t="n"/>
      <c r="J16" s="28" t="n"/>
    </row>
    <row r="17" ht="27.75" customHeight="1" s="23">
      <c r="A17" s="29" t="inlineStr">
        <is>
          <t>2</t>
        </is>
      </c>
      <c r="B17" s="29" t="inlineStr">
        <is>
          <t>7 Jan 2027</t>
        </is>
      </c>
      <c r="C17" s="29" t="inlineStr">
        <is>
          <t>06:30</t>
        </is>
      </c>
      <c r="D17" s="29" t="inlineStr">
        <is>
          <t>Breakfast — masak simple kat guesthouse (roti/telur)</t>
        </is>
      </c>
      <c r="E17" s="29" t="n"/>
      <c r="F17" s="29" t="inlineStr">
        <is>
          <t>Masak</t>
        </is>
      </c>
      <c r="G17" s="29" t="inlineStr">
        <is>
          <t>SAHKAN dapur guesthouse ada</t>
        </is>
      </c>
      <c r="H17" s="29" t="inlineStr">
        <is>
          <t>Food-Masak</t>
        </is>
      </c>
      <c r="I17" s="30" t="n">
        <v>500</v>
      </c>
      <c r="J17" s="30">
        <f>I17*'Budget Summary'!$B$2</f>
        <v/>
      </c>
    </row>
    <row r="18" ht="27.75" customHeight="1" s="23">
      <c r="A18" s="25" t="inlineStr">
        <is>
          <t>2</t>
        </is>
      </c>
      <c r="B18" s="25" t="inlineStr">
        <is>
          <t>7 Jan 2027</t>
        </is>
      </c>
      <c r="C18" s="25" t="inlineStr">
        <is>
          <t>08:00</t>
        </is>
      </c>
      <c r="D18" s="25" t="inlineStr">
        <is>
          <t>Beli Osaka Amazing Pass 1-day</t>
        </is>
      </c>
      <c r="E18" s="25" t="n"/>
      <c r="F18" s="25" t="n"/>
      <c r="G18" s="25" t="inlineStr">
        <is>
          <t>Cover metro + Castle + Umeda Sky + Tsutenkaku</t>
        </is>
      </c>
      <c r="H18" s="25" t="inlineStr">
        <is>
          <t>Pass</t>
        </is>
      </c>
      <c r="I18" s="26" t="n">
        <v>3500</v>
      </c>
      <c r="J18" s="26">
        <f>I18*'Budget Summary'!$B$2</f>
        <v/>
      </c>
    </row>
    <row r="19" ht="27.75" customHeight="1" s="23">
      <c r="A19" s="25" t="inlineStr">
        <is>
          <t>2</t>
        </is>
      </c>
      <c r="B19" s="25" t="inlineStr">
        <is>
          <t>7 Jan 2027</t>
        </is>
      </c>
      <c r="C19" s="25" t="inlineStr">
        <is>
          <t>09:00</t>
        </is>
      </c>
      <c r="D19" s="25" t="inlineStr">
        <is>
          <t>Osaka Castle</t>
        </is>
      </c>
      <c r="E19" s="25" t="n"/>
      <c r="F19" s="25" t="n"/>
      <c r="G19" s="25" t="n"/>
      <c r="H19" s="25" t="n"/>
      <c r="I19" s="26" t="n"/>
      <c r="J19" s="26" t="n"/>
    </row>
    <row r="20" ht="27.75" customHeight="1" s="23">
      <c r="A20" s="27" t="inlineStr">
        <is>
          <t>2</t>
        </is>
      </c>
      <c r="B20" s="27" t="inlineStr">
        <is>
          <t>7 Jan 2027</t>
        </is>
      </c>
      <c r="C20" s="27" t="inlineStr">
        <is>
          <t>12:00</t>
        </is>
      </c>
      <c r="D20" s="27" t="inlineStr">
        <is>
          <t>Zohor (kawasan taman castle)</t>
        </is>
      </c>
      <c r="E20" s="27" t="inlineStr">
        <is>
          <t>Zohor 12:00</t>
        </is>
      </c>
      <c r="F20" s="27" t="n"/>
      <c r="G20" s="27" t="n"/>
      <c r="H20" s="27" t="n"/>
      <c r="I20" s="28" t="n"/>
      <c r="J20" s="28" t="n"/>
    </row>
    <row r="21" ht="27.75" customHeight="1" s="23">
      <c r="A21" s="25" t="inlineStr">
        <is>
          <t>2</t>
        </is>
      </c>
      <c r="B21" s="25" t="inlineStr">
        <is>
          <t>7 Jan 2027</t>
        </is>
      </c>
      <c r="C21" s="25" t="inlineStr">
        <is>
          <t>12:30</t>
        </is>
      </c>
      <c r="D21" s="25" t="inlineStr">
        <is>
          <t>Lunch — halal dekat Umeda/Namba</t>
        </is>
      </c>
      <c r="E21" s="25" t="n"/>
      <c r="F21" s="25" t="inlineStr">
        <is>
          <t>Makan luar (halal)</t>
        </is>
      </c>
      <c r="G21" s="25" t="n"/>
      <c r="H21" s="25" t="inlineStr">
        <is>
          <t>Food-Luar</t>
        </is>
      </c>
      <c r="I21" s="26" t="n">
        <v>1500</v>
      </c>
      <c r="J21" s="26">
        <f>I21*'Budget Summary'!$B$2</f>
        <v/>
      </c>
    </row>
    <row r="22" ht="27.75" customHeight="1" s="23">
      <c r="A22" s="31" t="inlineStr">
        <is>
          <t>2</t>
        </is>
      </c>
      <c r="B22" s="31" t="inlineStr">
        <is>
          <t>7 Jan 2027</t>
        </is>
      </c>
      <c r="C22" s="31" t="inlineStr">
        <is>
          <t>14:00</t>
        </is>
      </c>
      <c r="D22" s="31" t="inlineStr">
        <is>
          <t>Umeda Sky Building (PENTING: free entry tutup 3pm!)</t>
        </is>
      </c>
      <c r="E22" s="31" t="n"/>
      <c r="F22" s="31" t="n"/>
      <c r="G22" s="31" t="inlineStr">
        <is>
          <t>Guna Amazing Pass sebelum 15:00</t>
        </is>
      </c>
      <c r="H22" s="31" t="n"/>
      <c r="I22" s="32" t="n"/>
      <c r="J22" s="32" t="n"/>
    </row>
    <row r="23" ht="27.75" customHeight="1" s="23">
      <c r="A23" s="27" t="inlineStr">
        <is>
          <t>2</t>
        </is>
      </c>
      <c r="B23" s="27" t="inlineStr">
        <is>
          <t>7 Jan 2027</t>
        </is>
      </c>
      <c r="C23" s="27" t="inlineStr">
        <is>
          <t>14:35</t>
        </is>
      </c>
      <c r="D23" s="27" t="inlineStr">
        <is>
          <t>Asar</t>
        </is>
      </c>
      <c r="E23" s="27" t="inlineStr">
        <is>
          <t>Asar 14:35</t>
        </is>
      </c>
      <c r="F23" s="27" t="n"/>
      <c r="G23" s="27" t="n"/>
      <c r="H23" s="27" t="n"/>
      <c r="I23" s="28" t="n"/>
      <c r="J23" s="28" t="n"/>
    </row>
    <row r="24" ht="27.75" customHeight="1" s="23">
      <c r="A24" s="25" t="inlineStr">
        <is>
          <t>2</t>
        </is>
      </c>
      <c r="B24" s="25" t="inlineStr">
        <is>
          <t>7 Jan 2027</t>
        </is>
      </c>
      <c r="C24" s="25" t="inlineStr">
        <is>
          <t>15:30</t>
        </is>
      </c>
      <c r="D24" s="25" t="inlineStr">
        <is>
          <t>Tsutenkaku Tower / Shinsekai</t>
        </is>
      </c>
      <c r="E24" s="25" t="n"/>
      <c r="F24" s="25" t="n"/>
      <c r="G24" s="25" t="inlineStr">
        <is>
          <t>Guna Amazing Pass</t>
        </is>
      </c>
      <c r="H24" s="25" t="n"/>
      <c r="I24" s="26" t="n"/>
      <c r="J24" s="26" t="n"/>
    </row>
    <row r="25" ht="27.75" customHeight="1" s="23">
      <c r="A25" s="27" t="inlineStr">
        <is>
          <t>2</t>
        </is>
      </c>
      <c r="B25" s="27" t="inlineStr">
        <is>
          <t>7 Jan 2027</t>
        </is>
      </c>
      <c r="C25" s="27" t="inlineStr">
        <is>
          <t>17:00</t>
        </is>
      </c>
      <c r="D25" s="27" t="inlineStr">
        <is>
          <t>Maghrib</t>
        </is>
      </c>
      <c r="E25" s="27" t="inlineStr">
        <is>
          <t>Maghrib 17:00</t>
        </is>
      </c>
      <c r="F25" s="27" t="n"/>
      <c r="G25" s="27" t="n"/>
      <c r="H25" s="27" t="n"/>
      <c r="I25" s="28" t="n"/>
      <c r="J25" s="28" t="n"/>
    </row>
    <row r="26" ht="27.75" customHeight="1" s="23">
      <c r="A26" s="25" t="inlineStr">
        <is>
          <t>2</t>
        </is>
      </c>
      <c r="B26" s="25" t="inlineStr">
        <is>
          <t>7 Jan 2027</t>
        </is>
      </c>
      <c r="C26" s="25" t="inlineStr">
        <is>
          <t>17:30</t>
        </is>
      </c>
      <c r="D26" s="25" t="inlineStr">
        <is>
          <t>Dinner — halal Shinsekai (sebelum naik bas)</t>
        </is>
      </c>
      <c r="E26" s="25" t="n"/>
      <c r="F26" s="25" t="inlineStr">
        <is>
          <t>Makan luar (halal)</t>
        </is>
      </c>
      <c r="G26" s="25" t="n"/>
      <c r="H26" s="25" t="inlineStr">
        <is>
          <t>Food-Luar</t>
        </is>
      </c>
      <c r="I26" s="26" t="n">
        <v>1800</v>
      </c>
      <c r="J26" s="26">
        <f>I26*'Budget Summary'!$B$2</f>
        <v/>
      </c>
    </row>
    <row r="27" ht="27.75" customHeight="1" s="23">
      <c r="A27" s="27" t="inlineStr">
        <is>
          <t>2</t>
        </is>
      </c>
      <c r="B27" s="27" t="inlineStr">
        <is>
          <t>7 Jan 2027</t>
        </is>
      </c>
      <c r="C27" s="27" t="inlineStr">
        <is>
          <t>18:20</t>
        </is>
      </c>
      <c r="D27" s="27" t="inlineStr">
        <is>
          <t>Isyak</t>
        </is>
      </c>
      <c r="E27" s="27" t="inlineStr">
        <is>
          <t>Isyak 18:20</t>
        </is>
      </c>
      <c r="F27" s="27" t="n"/>
      <c r="G27" s="27" t="n"/>
      <c r="H27" s="27" t="n"/>
      <c r="I27" s="28" t="n"/>
      <c r="J27" s="28" t="n"/>
    </row>
    <row r="28" ht="27.75" customHeight="1" s="23">
      <c r="A28" s="25" t="inlineStr">
        <is>
          <t>2</t>
        </is>
      </c>
      <c r="B28" s="25" t="inlineStr">
        <is>
          <t>7 Jan 2027</t>
        </is>
      </c>
      <c r="C28" s="25" t="inlineStr">
        <is>
          <t>19:00</t>
        </is>
      </c>
      <c r="D28" s="25" t="inlineStr">
        <is>
          <t>Balik guesthouse, kemas beg</t>
        </is>
      </c>
      <c r="E28" s="25" t="n"/>
      <c r="F28" s="25" t="n"/>
      <c r="G28" s="25" t="n"/>
      <c r="H28" s="25" t="n"/>
      <c r="I28" s="26" t="n"/>
      <c r="J28" s="26" t="n"/>
    </row>
    <row r="29" ht="27.75" customHeight="1" s="23">
      <c r="A29" s="25" t="inlineStr">
        <is>
          <t>2</t>
        </is>
      </c>
      <c r="B29" s="25" t="inlineStr">
        <is>
          <t>7 Jan 2027</t>
        </is>
      </c>
      <c r="C29" s="25" t="inlineStr">
        <is>
          <t>23:00</t>
        </is>
      </c>
      <c r="D29" s="25" t="inlineStr">
        <is>
          <t>Bas overnight Osaka → Tokyo (tidur atas bas)</t>
        </is>
      </c>
      <c r="E29" s="25" t="n"/>
      <c r="F29" s="25" t="n"/>
      <c r="G29" s="25" t="inlineStr">
        <is>
          <t>Willer Express, ¥2,000-4,000, ~8-9j</t>
        </is>
      </c>
      <c r="H29" s="25" t="inlineStr">
        <is>
          <t>Transport</t>
        </is>
      </c>
      <c r="I29" s="26" t="n">
        <v>3000</v>
      </c>
      <c r="J29" s="26">
        <f>I29*'Budget Summary'!$B$2</f>
        <v/>
      </c>
    </row>
    <row r="30" ht="27.75" customHeight="1" s="23">
      <c r="A30" s="27" t="inlineStr">
        <is>
          <t>3
(Jumaat)</t>
        </is>
      </c>
      <c r="B30" s="27" t="inlineStr">
        <is>
          <t>8 Jan 2027</t>
        </is>
      </c>
      <c r="C30" s="27" t="inlineStr">
        <is>
          <t>~05:22</t>
        </is>
      </c>
      <c r="D30" s="27" t="inlineStr">
        <is>
          <t>Subuh (atas bas — anggar kiblat/qada bila sampai)</t>
        </is>
      </c>
      <c r="E30" s="27" t="inlineStr">
        <is>
          <t>Subuh ~05:22</t>
        </is>
      </c>
      <c r="F30" s="27" t="n"/>
      <c r="G30" s="27" t="n"/>
      <c r="H30" s="27" t="n"/>
      <c r="I30" s="28" t="n"/>
      <c r="J30" s="28" t="n"/>
    </row>
    <row r="31" ht="27.75" customHeight="1" s="23">
      <c r="A31" s="25" t="inlineStr">
        <is>
          <t>3</t>
        </is>
      </c>
      <c r="B31" s="25" t="inlineStr">
        <is>
          <t>8 Jan 2027</t>
        </is>
      </c>
      <c r="C31" s="25" t="inlineStr">
        <is>
          <t>~07:30</t>
        </is>
      </c>
      <c r="D31" s="25" t="inlineStr">
        <is>
          <t>Sampai Tokyo (bus terminal Shinjuku)</t>
        </is>
      </c>
      <c r="E31" s="25" t="n"/>
      <c r="F31" s="25" t="n"/>
      <c r="G31" s="25" t="inlineStr">
        <is>
          <t>Freshen up kat terminal</t>
        </is>
      </c>
      <c r="H31" s="25" t="n"/>
      <c r="I31" s="26" t="n"/>
      <c r="J31" s="26" t="n"/>
    </row>
    <row r="32" ht="27.75" customHeight="1" s="23">
      <c r="A32" s="25" t="inlineStr">
        <is>
          <t>3</t>
        </is>
      </c>
      <c r="B32" s="25" t="inlineStr">
        <is>
          <t>8 Jan 2027</t>
        </is>
      </c>
      <c r="C32" s="25" t="inlineStr">
        <is>
          <t>08:00</t>
        </is>
      </c>
      <c r="D32" s="25" t="inlineStr">
        <is>
          <t>Breakfast — onigiri/roti halal-safe</t>
        </is>
      </c>
      <c r="E32" s="25" t="n"/>
      <c r="F32" s="25" t="inlineStr">
        <is>
          <t>Makan luar (halal)</t>
        </is>
      </c>
      <c r="G32" s="25" t="n"/>
      <c r="H32" s="25" t="inlineStr">
        <is>
          <t>Food-Luar</t>
        </is>
      </c>
      <c r="I32" s="26" t="n">
        <v>600</v>
      </c>
      <c r="J32" s="26">
        <f>I32*'Budget Summary'!$B$2</f>
        <v/>
      </c>
    </row>
    <row r="33" ht="27.75" customHeight="1" s="23">
      <c r="A33" s="25" t="inlineStr">
        <is>
          <t>3</t>
        </is>
      </c>
      <c r="B33" s="25" t="inlineStr">
        <is>
          <t>8 Jan 2027</t>
        </is>
      </c>
      <c r="C33" s="25" t="inlineStr">
        <is>
          <t>08:30</t>
        </is>
      </c>
      <c r="D33" s="25" t="inlineStr">
        <is>
          <t>Local transport Tokyo (metro/IC card)</t>
        </is>
      </c>
      <c r="E33" s="25" t="n"/>
      <c r="F33" s="25" t="n"/>
      <c r="G33" s="25" t="inlineStr">
        <is>
          <t>~¥800/hari</t>
        </is>
      </c>
      <c r="H33" s="25" t="inlineStr">
        <is>
          <t>Transport</t>
        </is>
      </c>
      <c r="I33" s="26" t="n">
        <v>800</v>
      </c>
      <c r="J33" s="26">
        <f>I33*'Budget Summary'!$B$2</f>
        <v/>
      </c>
    </row>
    <row r="34" ht="27.75" customHeight="1" s="23">
      <c r="A34" s="25" t="inlineStr">
        <is>
          <t>3</t>
        </is>
      </c>
      <c r="B34" s="25" t="inlineStr">
        <is>
          <t>8 Jan 2027</t>
        </is>
      </c>
      <c r="C34" s="25" t="inlineStr">
        <is>
          <t>09:00</t>
        </is>
      </c>
      <c r="D34" s="25" t="inlineStr">
        <is>
          <t>Asakusa Senso-ji (percuma)</t>
        </is>
      </c>
      <c r="E34" s="25" t="n"/>
      <c r="F34" s="25" t="n"/>
      <c r="G34" s="25" t="n"/>
      <c r="H34" s="25" t="n"/>
      <c r="I34" s="26" t="n"/>
      <c r="J34" s="26" t="n"/>
    </row>
    <row r="35" ht="27.75" customHeight="1" s="23">
      <c r="A35" s="27" t="inlineStr">
        <is>
          <t>3</t>
        </is>
      </c>
      <c r="B35" s="27" t="inlineStr">
        <is>
          <t>8 Jan 2027</t>
        </is>
      </c>
      <c r="C35" s="27" t="inlineStr">
        <is>
          <t>11:47</t>
        </is>
      </c>
      <c r="D35" s="27" t="inlineStr">
        <is>
          <t>Zohor (cadangan: Tokyo Camii, Yoyogi-Uehara)</t>
        </is>
      </c>
      <c r="E35" s="27" t="inlineStr">
        <is>
          <t>Zohor 11:47</t>
        </is>
      </c>
      <c r="F35" s="27" t="n"/>
      <c r="G35" s="27" t="n"/>
      <c r="H35" s="27" t="n"/>
      <c r="I35" s="28" t="n"/>
      <c r="J35" s="28" t="n"/>
    </row>
    <row r="36" ht="27.75" customHeight="1" s="23">
      <c r="A36" s="25" t="inlineStr">
        <is>
          <t>3</t>
        </is>
      </c>
      <c r="B36" s="25" t="inlineStr">
        <is>
          <t>8 Jan 2027</t>
        </is>
      </c>
      <c r="C36" s="25" t="inlineStr">
        <is>
          <t>12:15</t>
        </is>
      </c>
      <c r="D36" s="25" t="inlineStr">
        <is>
          <t>Lunch — halal dekat Tokyo Camii/Shin-Okubo</t>
        </is>
      </c>
      <c r="E36" s="25" t="n"/>
      <c r="F36" s="25" t="inlineStr">
        <is>
          <t>Makan luar (halal)</t>
        </is>
      </c>
      <c r="G36" s="25" t="n"/>
      <c r="H36" s="25" t="inlineStr">
        <is>
          <t>Food-Luar</t>
        </is>
      </c>
      <c r="I36" s="26" t="n">
        <v>1800</v>
      </c>
      <c r="J36" s="26">
        <f>I36*'Budget Summary'!$B$2</f>
        <v/>
      </c>
    </row>
    <row r="37" ht="27.75" customHeight="1" s="23">
      <c r="A37" s="27" t="inlineStr">
        <is>
          <t>3</t>
        </is>
      </c>
      <c r="B37" s="27" t="inlineStr">
        <is>
          <t>8 Jan 2027</t>
        </is>
      </c>
      <c r="C37" s="27" t="inlineStr">
        <is>
          <t>14:20</t>
        </is>
      </c>
      <c r="D37" s="27" t="inlineStr">
        <is>
          <t>Asar</t>
        </is>
      </c>
      <c r="E37" s="27" t="inlineStr">
        <is>
          <t>Asar 14:20</t>
        </is>
      </c>
      <c r="F37" s="27" t="n"/>
      <c r="G37" s="27" t="n"/>
      <c r="H37" s="27" t="n"/>
      <c r="I37" s="28" t="n"/>
      <c r="J37" s="28" t="n"/>
    </row>
    <row r="38" ht="27.75" customHeight="1" s="23">
      <c r="A38" s="25" t="inlineStr">
        <is>
          <t>3</t>
        </is>
      </c>
      <c r="B38" s="25" t="inlineStr">
        <is>
          <t>8 Jan 2027</t>
        </is>
      </c>
      <c r="C38" s="25" t="inlineStr">
        <is>
          <t>14:30</t>
        </is>
      </c>
      <c r="D38" s="25" t="inlineStr">
        <is>
          <t>Shibuya / Harajuku</t>
        </is>
      </c>
      <c r="E38" s="25" t="n"/>
      <c r="F38" s="25" t="n"/>
      <c r="G38" s="25" t="n"/>
      <c r="H38" s="25" t="n"/>
      <c r="I38" s="26" t="n"/>
      <c r="J38" s="26" t="n"/>
    </row>
    <row r="39" ht="27.75" customHeight="1" s="23">
      <c r="A39" s="27" t="inlineStr">
        <is>
          <t>3</t>
        </is>
      </c>
      <c r="B39" s="27" t="inlineStr">
        <is>
          <t>8 Jan 2027</t>
        </is>
      </c>
      <c r="C39" s="27" t="inlineStr">
        <is>
          <t>16:45</t>
        </is>
      </c>
      <c r="D39" s="27" t="inlineStr">
        <is>
          <t>Maghrib</t>
        </is>
      </c>
      <c r="E39" s="27" t="inlineStr">
        <is>
          <t>Maghrib 16:45</t>
        </is>
      </c>
      <c r="F39" s="27" t="n"/>
      <c r="G39" s="27" t="n"/>
      <c r="H39" s="27" t="n"/>
      <c r="I39" s="28" t="n"/>
      <c r="J39" s="28" t="n"/>
    </row>
    <row r="40" ht="27.75" customHeight="1" s="23">
      <c r="A40" s="25" t="inlineStr">
        <is>
          <t>3</t>
        </is>
      </c>
      <c r="B40" s="25" t="inlineStr">
        <is>
          <t>8 Jan 2027</t>
        </is>
      </c>
      <c r="C40" s="25" t="inlineStr">
        <is>
          <t>17:15</t>
        </is>
      </c>
      <c r="D40" s="25" t="inlineStr">
        <is>
          <t>Dinner — halal Shinjuku area</t>
        </is>
      </c>
      <c r="E40" s="25" t="n"/>
      <c r="F40" s="25" t="inlineStr">
        <is>
          <t>Makan luar (halal)</t>
        </is>
      </c>
      <c r="G40" s="25" t="n"/>
      <c r="H40" s="25" t="inlineStr">
        <is>
          <t>Food-Luar</t>
        </is>
      </c>
      <c r="I40" s="26" t="n">
        <v>2000</v>
      </c>
      <c r="J40" s="26">
        <f>I40*'Budget Summary'!$B$2</f>
        <v/>
      </c>
    </row>
    <row r="41" ht="27.75" customHeight="1" s="23">
      <c r="A41" s="27" t="inlineStr">
        <is>
          <t>3</t>
        </is>
      </c>
      <c r="B41" s="27" t="inlineStr">
        <is>
          <t>8 Jan 2027</t>
        </is>
      </c>
      <c r="C41" s="27" t="inlineStr">
        <is>
          <t>18:05</t>
        </is>
      </c>
      <c r="D41" s="27" t="inlineStr">
        <is>
          <t>Isyak</t>
        </is>
      </c>
      <c r="E41" s="27" t="inlineStr">
        <is>
          <t>Isyak 18:05</t>
        </is>
      </c>
      <c r="F41" s="27" t="n"/>
      <c r="G41" s="27" t="n"/>
      <c r="H41" s="27" t="n"/>
      <c r="I41" s="28" t="n"/>
      <c r="J41" s="28" t="n"/>
    </row>
    <row r="42" ht="27.75" customHeight="1" s="23">
      <c r="A42" s="25" t="inlineStr">
        <is>
          <t>3</t>
        </is>
      </c>
      <c r="B42" s="25" t="inlineStr">
        <is>
          <t>8 Jan 2027</t>
        </is>
      </c>
      <c r="C42" s="25" t="inlineStr">
        <is>
          <t>19:00</t>
        </is>
      </c>
      <c r="D42" s="25" t="inlineStr">
        <is>
          <t>Check-in manga cafe (private booth)</t>
        </is>
      </c>
      <c r="E42" s="25" t="n"/>
      <c r="F42" s="25" t="n"/>
      <c r="G42" s="25" t="inlineStr">
        <is>
          <t>¥1,700-3,500/malam</t>
        </is>
      </c>
      <c r="H42" s="25" t="inlineStr">
        <is>
          <t>Accommodation</t>
        </is>
      </c>
      <c r="I42" s="26" t="n">
        <v>2500</v>
      </c>
      <c r="J42" s="26">
        <f>I42*'Budget Summary'!$B$2</f>
        <v/>
      </c>
    </row>
    <row r="43" ht="27.75" customHeight="1" s="23">
      <c r="A43" s="27" t="inlineStr">
        <is>
          <t>4
(Sabtu)</t>
        </is>
      </c>
      <c r="B43" s="27" t="inlineStr">
        <is>
          <t>9 Jan 2027</t>
        </is>
      </c>
      <c r="C43" s="27" t="inlineStr">
        <is>
          <t>05:22</t>
        </is>
      </c>
      <c r="D43" s="27" t="inlineStr">
        <is>
          <t>Subuh (manga cafe / musolla berdekatan)</t>
        </is>
      </c>
      <c r="E43" s="27" t="inlineStr">
        <is>
          <t>Subuh 05:22</t>
        </is>
      </c>
      <c r="F43" s="27" t="n"/>
      <c r="G43" s="27" t="n"/>
      <c r="H43" s="27" t="n"/>
      <c r="I43" s="28" t="n"/>
      <c r="J43" s="28" t="n"/>
    </row>
    <row r="44" ht="27.75" customHeight="1" s="23">
      <c r="A44" s="25" t="inlineStr">
        <is>
          <t>4</t>
        </is>
      </c>
      <c r="B44" s="25" t="inlineStr">
        <is>
          <t>9 Jan 2027</t>
        </is>
      </c>
      <c r="C44" s="25" t="inlineStr">
        <is>
          <t>07:00</t>
        </is>
      </c>
      <c r="D44" s="25" t="inlineStr">
        <is>
          <t>Breakfast — conbini halal-safe (onigiri salmon/tuna)</t>
        </is>
      </c>
      <c r="E44" s="25" t="n"/>
      <c r="F44" s="25" t="inlineStr">
        <is>
          <t>Makan luar (halal)</t>
        </is>
      </c>
      <c r="G44" s="25" t="n"/>
      <c r="H44" s="25" t="inlineStr">
        <is>
          <t>Food-Luar</t>
        </is>
      </c>
      <c r="I44" s="26" t="n">
        <v>600</v>
      </c>
      <c r="J44" s="26">
        <f>I44*'Budget Summary'!$B$2</f>
        <v/>
      </c>
    </row>
    <row r="45" ht="27.75" customHeight="1" s="23">
      <c r="A45" s="25" t="inlineStr">
        <is>
          <t>4</t>
        </is>
      </c>
      <c r="B45" s="25" t="inlineStr">
        <is>
          <t>9 Jan 2027</t>
        </is>
      </c>
      <c r="C45" s="25" t="inlineStr">
        <is>
          <t>08:00</t>
        </is>
      </c>
      <c r="D45" s="25" t="inlineStr">
        <is>
          <t>Local transport Tokyo</t>
        </is>
      </c>
      <c r="E45" s="25" t="n"/>
      <c r="F45" s="25" t="n"/>
      <c r="G45" s="25" t="n"/>
      <c r="H45" s="25" t="inlineStr">
        <is>
          <t>Transport</t>
        </is>
      </c>
      <c r="I45" s="26" t="n">
        <v>800</v>
      </c>
      <c r="J45" s="26">
        <f>I45*'Budget Summary'!$B$2</f>
        <v/>
      </c>
    </row>
    <row r="46" ht="27.75" customHeight="1" s="23">
      <c r="A46" s="25" t="inlineStr">
        <is>
          <t>4</t>
        </is>
      </c>
      <c r="B46" s="25" t="inlineStr">
        <is>
          <t>9 Jan 2027</t>
        </is>
      </c>
      <c r="C46" s="25" t="inlineStr">
        <is>
          <t>08:30</t>
        </is>
      </c>
      <c r="D46" s="25" t="inlineStr">
        <is>
          <t>Shinjuku Gyoen / Akihabara</t>
        </is>
      </c>
      <c r="E46" s="25" t="n"/>
      <c r="F46" s="25" t="n"/>
      <c r="G46" s="25" t="n"/>
      <c r="H46" s="25" t="n"/>
      <c r="I46" s="26" t="n"/>
      <c r="J46" s="26" t="n"/>
    </row>
    <row r="47" ht="27.75" customHeight="1" s="23">
      <c r="A47" s="27" t="inlineStr">
        <is>
          <t>4</t>
        </is>
      </c>
      <c r="B47" s="27" t="inlineStr">
        <is>
          <t>9 Jan 2027</t>
        </is>
      </c>
      <c r="C47" s="27" t="inlineStr">
        <is>
          <t>11:47</t>
        </is>
      </c>
      <c r="D47" s="27" t="inlineStr">
        <is>
          <t>Zohor</t>
        </is>
      </c>
      <c r="E47" s="27" t="inlineStr">
        <is>
          <t>Zohor 11:47</t>
        </is>
      </c>
      <c r="F47" s="27" t="n"/>
      <c r="G47" s="27" t="n"/>
      <c r="H47" s="27" t="n"/>
      <c r="I47" s="28" t="n"/>
      <c r="J47" s="28" t="n"/>
    </row>
    <row r="48" ht="27.75" customHeight="1" s="23">
      <c r="A48" s="25" t="inlineStr">
        <is>
          <t>4</t>
        </is>
      </c>
      <c r="B48" s="25" t="inlineStr">
        <is>
          <t>9 Jan 2027</t>
        </is>
      </c>
      <c r="C48" s="25" t="inlineStr">
        <is>
          <t>12:15</t>
        </is>
      </c>
      <c r="D48" s="25" t="inlineStr">
        <is>
          <t>Lunch — halal</t>
        </is>
      </c>
      <c r="E48" s="25" t="n"/>
      <c r="F48" s="25" t="inlineStr">
        <is>
          <t>Makan luar (halal)</t>
        </is>
      </c>
      <c r="G48" s="25" t="n"/>
      <c r="H48" s="25" t="inlineStr">
        <is>
          <t>Food-Luar</t>
        </is>
      </c>
      <c r="I48" s="26" t="n">
        <v>1800</v>
      </c>
      <c r="J48" s="26">
        <f>I48*'Budget Summary'!$B$2</f>
        <v/>
      </c>
    </row>
    <row r="49" ht="27.75" customHeight="1" s="23">
      <c r="A49" s="27" t="inlineStr">
        <is>
          <t>4</t>
        </is>
      </c>
      <c r="B49" s="27" t="inlineStr">
        <is>
          <t>9 Jan 2027</t>
        </is>
      </c>
      <c r="C49" s="27" t="inlineStr">
        <is>
          <t>14:20</t>
        </is>
      </c>
      <c r="D49" s="27" t="inlineStr">
        <is>
          <t>Asar</t>
        </is>
      </c>
      <c r="E49" s="27" t="inlineStr">
        <is>
          <t>Asar 14:20</t>
        </is>
      </c>
      <c r="F49" s="27" t="n"/>
      <c r="G49" s="27" t="n"/>
      <c r="H49" s="27" t="n"/>
      <c r="I49" s="28" t="n"/>
      <c r="J49" s="28" t="n"/>
    </row>
    <row r="50" ht="27.75" customHeight="1" s="23">
      <c r="A50" s="25" t="inlineStr">
        <is>
          <t>4</t>
        </is>
      </c>
      <c r="B50" s="25" t="inlineStr">
        <is>
          <t>9 Jan 2027</t>
        </is>
      </c>
      <c r="C50" s="25" t="inlineStr">
        <is>
          <t>14:30</t>
        </is>
      </c>
      <c r="D50" s="25" t="inlineStr">
        <is>
          <t>Explore lagi (Shibuya Sky — OPTIONAL, boleh skip)</t>
        </is>
      </c>
      <c r="E50" s="25" t="n"/>
      <c r="F50" s="25" t="n"/>
      <c r="G50" s="25" t="inlineStr">
        <is>
          <t>Optional attraction</t>
        </is>
      </c>
      <c r="H50" s="25" t="inlineStr">
        <is>
          <t>Attraction-Optional</t>
        </is>
      </c>
      <c r="I50" s="26" t="n">
        <v>2000</v>
      </c>
      <c r="J50" s="26">
        <f>I50*'Budget Summary'!$B$2</f>
        <v/>
      </c>
    </row>
    <row r="51" ht="27.75" customHeight="1" s="23">
      <c r="A51" s="27" t="inlineStr">
        <is>
          <t>4</t>
        </is>
      </c>
      <c r="B51" s="27" t="inlineStr">
        <is>
          <t>9 Jan 2027</t>
        </is>
      </c>
      <c r="C51" s="27" t="inlineStr">
        <is>
          <t>16:45</t>
        </is>
      </c>
      <c r="D51" s="27" t="inlineStr">
        <is>
          <t>Maghrib</t>
        </is>
      </c>
      <c r="E51" s="27" t="inlineStr">
        <is>
          <t>Maghrib 16:45</t>
        </is>
      </c>
      <c r="F51" s="27" t="n"/>
      <c r="G51" s="27" t="n"/>
      <c r="H51" s="27" t="n"/>
      <c r="I51" s="28" t="n"/>
      <c r="J51" s="28" t="n"/>
    </row>
    <row r="52" ht="27.75" customHeight="1" s="23">
      <c r="A52" s="25" t="inlineStr">
        <is>
          <t>4</t>
        </is>
      </c>
      <c r="B52" s="25" t="inlineStr">
        <is>
          <t>9 Jan 2027</t>
        </is>
      </c>
      <c r="C52" s="25" t="inlineStr">
        <is>
          <t>17:15</t>
        </is>
      </c>
      <c r="D52" s="25" t="inlineStr">
        <is>
          <t>Dinner — halal (beli EXTRA utk bekal esok!)</t>
        </is>
      </c>
      <c r="E52" s="25" t="n"/>
      <c r="F52" s="25" t="inlineStr">
        <is>
          <t>Makan luar (halal)</t>
        </is>
      </c>
      <c r="G52" s="25" t="n"/>
      <c r="H52" s="25" t="inlineStr">
        <is>
          <t>Food-Luar</t>
        </is>
      </c>
      <c r="I52" s="26" t="n">
        <v>2200</v>
      </c>
      <c r="J52" s="26">
        <f>I52*'Budget Summary'!$B$2</f>
        <v/>
      </c>
    </row>
    <row r="53" ht="27.75" customHeight="1" s="23">
      <c r="A53" s="27" t="inlineStr">
        <is>
          <t>4</t>
        </is>
      </c>
      <c r="B53" s="27" t="inlineStr">
        <is>
          <t>9 Jan 2027</t>
        </is>
      </c>
      <c r="C53" s="27" t="inlineStr">
        <is>
          <t>18:05</t>
        </is>
      </c>
      <c r="D53" s="27" t="inlineStr">
        <is>
          <t>Isyak</t>
        </is>
      </c>
      <c r="E53" s="27" t="inlineStr">
        <is>
          <t>Isyak 18:05</t>
        </is>
      </c>
      <c r="F53" s="27" t="n"/>
      <c r="G53" s="27" t="n"/>
      <c r="H53" s="27" t="n"/>
      <c r="I53" s="28" t="n"/>
      <c r="J53" s="28" t="n"/>
    </row>
    <row r="54" ht="27.75" customHeight="1" s="23">
      <c r="A54" s="25" t="inlineStr">
        <is>
          <t>4</t>
        </is>
      </c>
      <c r="B54" s="25" t="inlineStr">
        <is>
          <t>9 Jan 2027</t>
        </is>
      </c>
      <c r="C54" s="25" t="inlineStr">
        <is>
          <t>19:00</t>
        </is>
      </c>
      <c r="D54" s="25" t="inlineStr">
        <is>
          <t>Beli bekal halal utk esok (Kawaguchiko takde halal food)</t>
        </is>
      </c>
      <c r="E54" s="25" t="n"/>
      <c r="F54" s="25" t="inlineStr">
        <is>
          <t>Bekal</t>
        </is>
      </c>
      <c r="G54" s="25" t="n"/>
      <c r="H54" s="25" t="inlineStr">
        <is>
          <t>Food-Bekal</t>
        </is>
      </c>
      <c r="I54" s="26" t="n">
        <v>1000</v>
      </c>
      <c r="J54" s="26">
        <f>I54*'Budget Summary'!$B$2</f>
        <v/>
      </c>
    </row>
    <row r="55" ht="27.75" customHeight="1" s="23">
      <c r="A55" s="25" t="inlineStr">
        <is>
          <t>4</t>
        </is>
      </c>
      <c r="B55" s="25" t="inlineStr">
        <is>
          <t>9 Jan 2027</t>
        </is>
      </c>
      <c r="C55" s="25" t="inlineStr">
        <is>
          <t>20:00</t>
        </is>
      </c>
      <c r="D55" s="25" t="inlineStr">
        <is>
          <t>Check-in manga cafe</t>
        </is>
      </c>
      <c r="E55" s="25" t="n"/>
      <c r="F55" s="25" t="n"/>
      <c r="G55" s="25" t="n"/>
      <c r="H55" s="25" t="inlineStr">
        <is>
          <t>Accommodation</t>
        </is>
      </c>
      <c r="I55" s="26" t="n">
        <v>2500</v>
      </c>
      <c r="J55" s="26">
        <f>I55*'Budget Summary'!$B$2</f>
        <v/>
      </c>
    </row>
    <row r="56" ht="27.75" customHeight="1" s="23">
      <c r="A56" s="27" t="inlineStr">
        <is>
          <t>5
(Ahad)</t>
        </is>
      </c>
      <c r="B56" s="27" t="inlineStr">
        <is>
          <t>10 Jan 2027</t>
        </is>
      </c>
      <c r="C56" s="27" t="inlineStr">
        <is>
          <t>05:22</t>
        </is>
      </c>
      <c r="D56" s="27" t="inlineStr">
        <is>
          <t>Subuh</t>
        </is>
      </c>
      <c r="E56" s="27" t="inlineStr">
        <is>
          <t>Subuh 05:22</t>
        </is>
      </c>
      <c r="F56" s="27" t="n"/>
      <c r="G56" s="27" t="n"/>
      <c r="H56" s="27" t="n"/>
      <c r="I56" s="28" t="n"/>
      <c r="J56" s="28" t="n"/>
    </row>
    <row r="57" ht="27.75" customHeight="1" s="23">
      <c r="A57" s="25" t="inlineStr">
        <is>
          <t>5</t>
        </is>
      </c>
      <c r="B57" s="25" t="inlineStr">
        <is>
          <t>10 Jan 2027</t>
        </is>
      </c>
      <c r="C57" s="25" t="inlineStr">
        <is>
          <t>06:30</t>
        </is>
      </c>
      <c r="D57" s="25" t="inlineStr">
        <is>
          <t>Breakfast — bekal/conbini</t>
        </is>
      </c>
      <c r="E57" s="25" t="n"/>
      <c r="F57" s="25" t="inlineStr">
        <is>
          <t>Makan luar (halal)</t>
        </is>
      </c>
      <c r="G57" s="25" t="n"/>
      <c r="H57" s="25" t="inlineStr">
        <is>
          <t>Food-Luar</t>
        </is>
      </c>
      <c r="I57" s="26" t="n">
        <v>600</v>
      </c>
      <c r="J57" s="26">
        <f>I57*'Budget Summary'!$B$2</f>
        <v/>
      </c>
    </row>
    <row r="58" ht="27.75" customHeight="1" s="23">
      <c r="A58" s="25" t="inlineStr">
        <is>
          <t>5</t>
        </is>
      </c>
      <c r="B58" s="25" t="inlineStr">
        <is>
          <t>10 Jan 2027</t>
        </is>
      </c>
      <c r="C58" s="25" t="inlineStr">
        <is>
          <t>08:00</t>
        </is>
      </c>
      <c r="D58" s="25" t="inlineStr">
        <is>
          <t>Bas Shinjuku → Kawaguchiko</t>
        </is>
      </c>
      <c r="E58" s="25" t="n"/>
      <c r="F58" s="25" t="n"/>
      <c r="G58" s="25" t="inlineStr">
        <is>
          <t>Highway bus, ¥2,000-2,200, ~1j45m</t>
        </is>
      </c>
      <c r="H58" s="25" t="inlineStr">
        <is>
          <t>Transport</t>
        </is>
      </c>
      <c r="I58" s="26" t="n">
        <v>2100</v>
      </c>
      <c r="J58" s="26">
        <f>I58*'Budget Summary'!$B$2</f>
        <v/>
      </c>
    </row>
    <row r="59" ht="27.75" customHeight="1" s="23">
      <c r="A59" s="25" t="inlineStr">
        <is>
          <t>5</t>
        </is>
      </c>
      <c r="B59" s="25" t="inlineStr">
        <is>
          <t>10 Jan 2027</t>
        </is>
      </c>
      <c r="C59" s="25" t="inlineStr">
        <is>
          <t>09:45</t>
        </is>
      </c>
      <c r="D59" s="25" t="inlineStr">
        <is>
          <t>Sampai Kawaguchiko — spot Fuji (Chureito Pagoda/Lake)</t>
        </is>
      </c>
      <c r="E59" s="25" t="n"/>
      <c r="F59" s="25" t="n"/>
      <c r="G59" s="25" t="n"/>
      <c r="H59" s="25" t="n"/>
      <c r="I59" s="26" t="n"/>
      <c r="J59" s="26" t="n"/>
    </row>
    <row r="60" ht="27.75" customHeight="1" s="23">
      <c r="A60" s="27" t="inlineStr">
        <is>
          <t>5</t>
        </is>
      </c>
      <c r="B60" s="27" t="inlineStr">
        <is>
          <t>10 Jan 2027</t>
        </is>
      </c>
      <c r="C60" s="27" t="inlineStr">
        <is>
          <t>11:50</t>
        </is>
      </c>
      <c r="D60" s="27" t="inlineStr">
        <is>
          <t>Zohor (luar — bawa sejadah + kompas kiblat app)</t>
        </is>
      </c>
      <c r="E60" s="27" t="inlineStr">
        <is>
          <t>Zohor ~11:50</t>
        </is>
      </c>
      <c r="F60" s="27" t="n"/>
      <c r="G60" s="27" t="n"/>
      <c r="H60" s="27" t="n"/>
      <c r="I60" s="28" t="n"/>
      <c r="J60" s="28" t="n"/>
    </row>
    <row r="61" ht="27.75" customHeight="1" s="23">
      <c r="A61" s="31" t="inlineStr">
        <is>
          <t>5</t>
        </is>
      </c>
      <c r="B61" s="31" t="inlineStr">
        <is>
          <t>10 Jan 2027</t>
        </is>
      </c>
      <c r="C61" s="31" t="inlineStr">
        <is>
          <t>12:00</t>
        </is>
      </c>
      <c r="D61" s="31" t="inlineStr">
        <is>
          <t>Lunch — bekal yang dibawa dari Tokyo</t>
        </is>
      </c>
      <c r="E61" s="31" t="n"/>
      <c r="F61" s="31" t="inlineStr">
        <is>
          <t>Bekal (dah dibeli)</t>
        </is>
      </c>
      <c r="G61" s="31" t="inlineStr">
        <is>
          <t>TAKDE halal food kat Kawaguchiko</t>
        </is>
      </c>
      <c r="H61" s="31" t="n"/>
      <c r="I61" s="32" t="n"/>
      <c r="J61" s="32" t="n"/>
    </row>
    <row r="62" ht="27.75" customHeight="1" s="23">
      <c r="A62" s="27" t="inlineStr">
        <is>
          <t>5</t>
        </is>
      </c>
      <c r="B62" s="27" t="inlineStr">
        <is>
          <t>10 Jan 2027</t>
        </is>
      </c>
      <c r="C62" s="27" t="inlineStr">
        <is>
          <t>14:15</t>
        </is>
      </c>
      <c r="D62" s="27" t="inlineStr">
        <is>
          <t>Asar</t>
        </is>
      </c>
      <c r="E62" s="27" t="inlineStr">
        <is>
          <t>Asar ~14:15</t>
        </is>
      </c>
      <c r="F62" s="27" t="n"/>
      <c r="G62" s="27" t="n"/>
      <c r="H62" s="27" t="n"/>
      <c r="I62" s="28" t="n"/>
      <c r="J62" s="28" t="n"/>
    </row>
    <row r="63" ht="27.75" customHeight="1" s="23">
      <c r="A63" s="25" t="inlineStr">
        <is>
          <t>5</t>
        </is>
      </c>
      <c r="B63" s="25" t="inlineStr">
        <is>
          <t>10 Jan 2027</t>
        </is>
      </c>
      <c r="C63" s="25" t="inlineStr">
        <is>
          <t>16:00</t>
        </is>
      </c>
      <c r="D63" s="25" t="inlineStr">
        <is>
          <t>Explore lagi / gambar area lake</t>
        </is>
      </c>
      <c r="E63" s="25" t="n"/>
      <c r="F63" s="25" t="n"/>
      <c r="G63" s="25" t="n"/>
      <c r="H63" s="25" t="n"/>
      <c r="I63" s="26" t="n"/>
      <c r="J63" s="26" t="n"/>
    </row>
    <row r="64" ht="27.75" customHeight="1" s="23">
      <c r="A64" s="27" t="inlineStr">
        <is>
          <t>5</t>
        </is>
      </c>
      <c r="B64" s="27" t="inlineStr">
        <is>
          <t>10 Jan 2027</t>
        </is>
      </c>
      <c r="C64" s="27" t="inlineStr">
        <is>
          <t>16:45</t>
        </is>
      </c>
      <c r="D64" s="27" t="inlineStr">
        <is>
          <t>Maghrib (view Fuji + sunset)</t>
        </is>
      </c>
      <c r="E64" s="27" t="inlineStr">
        <is>
          <t>Maghrib ~16:45</t>
        </is>
      </c>
      <c r="F64" s="27" t="n"/>
      <c r="G64" s="27" t="n"/>
      <c r="H64" s="27" t="n"/>
      <c r="I64" s="28" t="n"/>
      <c r="J64" s="28" t="n"/>
    </row>
    <row r="65" ht="27.75" customHeight="1" s="23">
      <c r="A65" s="25" t="inlineStr">
        <is>
          <t>5</t>
        </is>
      </c>
      <c r="B65" s="25" t="inlineStr">
        <is>
          <t>10 Jan 2027</t>
        </is>
      </c>
      <c r="C65" s="25" t="inlineStr">
        <is>
          <t>17:30</t>
        </is>
      </c>
      <c r="D65" s="25" t="inlineStr">
        <is>
          <t>Dinner — snack/bekal tambahan (beli kat konbini stesen)</t>
        </is>
      </c>
      <c r="E65" s="25" t="n"/>
      <c r="F65" s="25" t="inlineStr">
        <is>
          <t>Snack/Bekal</t>
        </is>
      </c>
      <c r="G65" s="25" t="n"/>
      <c r="H65" s="25" t="inlineStr">
        <is>
          <t>Food-Luar</t>
        </is>
      </c>
      <c r="I65" s="26" t="n">
        <v>800</v>
      </c>
      <c r="J65" s="26">
        <f>I65*'Budget Summary'!$B$2</f>
        <v/>
      </c>
    </row>
    <row r="66" ht="27.75" customHeight="1" s="23">
      <c r="A66" s="27" t="inlineStr">
        <is>
          <t>5</t>
        </is>
      </c>
      <c r="B66" s="27" t="inlineStr">
        <is>
          <t>10 Jan 2027</t>
        </is>
      </c>
      <c r="C66" s="27" t="inlineStr">
        <is>
          <t>18:00</t>
        </is>
      </c>
      <c r="D66" s="27" t="inlineStr">
        <is>
          <t>Isyak</t>
        </is>
      </c>
      <c r="E66" s="27" t="inlineStr">
        <is>
          <t>Isyak ~18:00</t>
        </is>
      </c>
      <c r="F66" s="27" t="n"/>
      <c r="G66" s="27" t="n"/>
      <c r="H66" s="27" t="n"/>
      <c r="I66" s="28" t="n"/>
      <c r="J66" s="28" t="n"/>
    </row>
    <row r="67" ht="27.75" customHeight="1" s="23">
      <c r="A67" s="25" t="inlineStr">
        <is>
          <t>5</t>
        </is>
      </c>
      <c r="B67" s="25" t="inlineStr">
        <is>
          <t>10 Jan 2027</t>
        </is>
      </c>
      <c r="C67" s="25" t="inlineStr">
        <is>
          <t>20:47</t>
        </is>
      </c>
      <c r="D67" s="25" t="inlineStr">
        <is>
          <t>Bas overnight Kawaguchiko → Osaka (tidur atas bas)</t>
        </is>
      </c>
      <c r="E67" s="25" t="n"/>
      <c r="F67" s="25" t="n"/>
      <c r="G67" s="25" t="inlineStr">
        <is>
          <t>Fujiyama Liner (Fujikyu), ¥6,700-8,700, ~10j</t>
        </is>
      </c>
      <c r="H67" s="25" t="inlineStr">
        <is>
          <t>Transport</t>
        </is>
      </c>
      <c r="I67" s="26" t="n">
        <v>7700</v>
      </c>
      <c r="J67" s="26">
        <f>I67*'Budget Summary'!$B$2</f>
        <v/>
      </c>
    </row>
    <row r="68" ht="27.75" customHeight="1" s="23">
      <c r="A68" s="27" t="inlineStr">
        <is>
          <t>6
(Isnin)</t>
        </is>
      </c>
      <c r="B68" s="27" t="inlineStr">
        <is>
          <t>11 Jan 2027</t>
        </is>
      </c>
      <c r="C68" s="27" t="inlineStr">
        <is>
          <t>~05:38</t>
        </is>
      </c>
      <c r="D68" s="27" t="inlineStr">
        <is>
          <t>Subuh (atas bas — anggar kiblat)</t>
        </is>
      </c>
      <c r="E68" s="27" t="inlineStr">
        <is>
          <t>Subuh ~05:38</t>
        </is>
      </c>
      <c r="F68" s="27" t="n"/>
      <c r="G68" s="27" t="n"/>
      <c r="H68" s="27" t="n"/>
      <c r="I68" s="28" t="n"/>
      <c r="J68" s="28" t="n"/>
    </row>
    <row r="69" ht="27.75" customHeight="1" s="23">
      <c r="A69" s="25" t="inlineStr">
        <is>
          <t>6</t>
        </is>
      </c>
      <c r="B69" s="25" t="inlineStr">
        <is>
          <t>11 Jan 2027</t>
        </is>
      </c>
      <c r="C69" s="25" t="inlineStr">
        <is>
          <t>06:53</t>
        </is>
      </c>
      <c r="D69" s="25" t="inlineStr">
        <is>
          <t>Sampai Osaka → terus balik guesthouse, mandi, tidur sekejap</t>
        </is>
      </c>
      <c r="E69" s="25" t="n"/>
      <c r="F69" s="25" t="n"/>
      <c r="G69" s="25" t="n"/>
      <c r="H69" s="25" t="n"/>
      <c r="I69" s="26" t="n"/>
      <c r="J69" s="26" t="n"/>
    </row>
    <row r="70" ht="27.75" customHeight="1" s="23">
      <c r="A70" s="25" t="inlineStr">
        <is>
          <t>6</t>
        </is>
      </c>
      <c r="B70" s="25" t="inlineStr">
        <is>
          <t>11 Jan 2027</t>
        </is>
      </c>
      <c r="C70" s="25" t="inlineStr">
        <is>
          <t>09:00</t>
        </is>
      </c>
      <c r="D70" s="25" t="inlineStr">
        <is>
          <t>Breakfast — masak kat guesthouse</t>
        </is>
      </c>
      <c r="E70" s="25" t="n"/>
      <c r="F70" s="25" t="inlineStr">
        <is>
          <t>Masak</t>
        </is>
      </c>
      <c r="G70" s="25" t="n"/>
      <c r="H70" s="25" t="inlineStr">
        <is>
          <t>Food-Masak</t>
        </is>
      </c>
      <c r="I70" s="26" t="n">
        <v>600</v>
      </c>
      <c r="J70" s="26">
        <f>I70*'Budget Summary'!$B$2</f>
        <v/>
      </c>
    </row>
    <row r="71" ht="27.75" customHeight="1" s="23">
      <c r="A71" s="29" t="inlineStr">
        <is>
          <t>6</t>
        </is>
      </c>
      <c r="B71" s="29" t="inlineStr">
        <is>
          <t>11 Jan 2027</t>
        </is>
      </c>
      <c r="C71" s="29" t="inlineStr">
        <is>
          <t>10:30</t>
        </is>
      </c>
      <c r="D71" s="29" t="inlineStr">
        <is>
          <t>Gerak ke Kyoto: Midosuji Namba → Yodoyabashi, tukar Keihan → Kiyomizu-Gojo</t>
        </is>
      </c>
      <c r="E71" s="29" t="n"/>
      <c r="F71" s="29" t="n"/>
      <c r="G71" s="29" t="inlineStr">
        <is>
          <t>¥240 + ¥430, ~1j15m. Isnin 11 Jan = CUTI UMUM Jepun (Seijin no Hi), Kyoto sesak</t>
        </is>
      </c>
      <c r="H71" s="29" t="inlineStr">
        <is>
          <t>Transport</t>
        </is>
      </c>
      <c r="I71" s="30" t="n">
        <v>670</v>
      </c>
      <c r="J71" s="30">
        <f>I71*'Budget Summary'!$B$2</f>
        <v/>
      </c>
    </row>
    <row r="72" ht="27.75" customHeight="1" s="23">
      <c r="A72" s="25" t="inlineStr">
        <is>
          <t>6</t>
        </is>
      </c>
      <c r="B72" s="25" t="inlineStr">
        <is>
          <t>11 Jan 2027</t>
        </is>
      </c>
      <c r="C72" s="25" t="inlineStr">
        <is>
          <t>12:00</t>
        </is>
      </c>
      <c r="D72" s="25" t="inlineStr">
        <is>
          <t>Zohor — surau Curry Club Ruu, Ninenzaka (ada tempat wuduk, muat 4-5 orang, solat 2 giliran)</t>
        </is>
      </c>
      <c r="E72" s="25" t="inlineStr">
        <is>
          <t>Zohor 12:00</t>
        </is>
      </c>
      <c r="F72" s="25" t="n"/>
      <c r="G72" s="25" t="n"/>
      <c r="H72" s="25" t="n"/>
      <c r="I72" s="26" t="n"/>
      <c r="J72" s="26" t="n"/>
    </row>
    <row r="73" ht="27.75" customHeight="1" s="23">
      <c r="A73" s="27" t="inlineStr">
        <is>
          <t>6</t>
        </is>
      </c>
      <c r="B73" s="27" t="inlineStr">
        <is>
          <t>11 Jan 2027</t>
        </is>
      </c>
      <c r="C73" s="27" t="inlineStr">
        <is>
          <t>12:30</t>
        </is>
      </c>
      <c r="D73" s="27" t="inlineStr">
        <is>
          <t>Lunch — Curry Club Ruu Ninenzaka (kari Jepun halal)</t>
        </is>
      </c>
      <c r="E73" s="27" t="n"/>
      <c r="F73" s="27" t="inlineStr">
        <is>
          <t>Makan luar (halal)</t>
        </is>
      </c>
      <c r="G73" s="27" t="inlineStr">
        <is>
          <t>~10min jalan kaki ke Kiyomizu-dera</t>
        </is>
      </c>
      <c r="H73" s="27" t="inlineStr">
        <is>
          <t>Food-Luar</t>
        </is>
      </c>
      <c r="I73" s="28" t="n">
        <v>1500</v>
      </c>
      <c r="J73" s="28">
        <f>I73*'Budget Summary'!$B$2</f>
        <v/>
      </c>
    </row>
    <row r="74" ht="27.75" customHeight="1" s="23">
      <c r="A74" s="29" t="inlineStr">
        <is>
          <t>6</t>
        </is>
      </c>
      <c r="B74" s="29" t="inlineStr">
        <is>
          <t>11 Jan 2027</t>
        </is>
      </c>
      <c r="C74" s="29" t="inlineStr">
        <is>
          <t>13:30</t>
        </is>
      </c>
      <c r="D74" s="29" t="inlineStr">
        <is>
          <t>Kiyomizu-dera (jalan naik Ninenzaka/Sannenzaka)</t>
        </is>
      </c>
      <c r="E74" s="29" t="n"/>
      <c r="F74" s="29" t="n"/>
      <c r="G74" s="29" t="inlineStr">
        <is>
          <t>¥500, bayar TUNAI. Buka 06:00-18:00. Jalan dari stesen curam ~25min; teksi kongsi 6 orang pun murah</t>
        </is>
      </c>
      <c r="H74" s="29" t="inlineStr">
        <is>
          <t>Attraction-Optional</t>
        </is>
      </c>
      <c r="I74" s="30" t="n">
        <v>500</v>
      </c>
      <c r="J74" s="30">
        <f>I74*'Budget Summary'!$B$2</f>
        <v/>
      </c>
    </row>
    <row r="75" ht="27.75" customHeight="1" s="23">
      <c r="A75" s="27" t="inlineStr">
        <is>
          <t>6</t>
        </is>
      </c>
      <c r="B75" s="27" t="inlineStr">
        <is>
          <t>11 Jan 2027</t>
        </is>
      </c>
      <c r="C75" s="27" t="inlineStr">
        <is>
          <t>14:35</t>
        </is>
      </c>
      <c r="D75" s="27" t="inlineStr">
        <is>
          <t>Asar (kawasan Kiyomizu / surau restoran halal berdekatan)</t>
        </is>
      </c>
      <c r="E75" s="27" t="inlineStr">
        <is>
          <t>Asar 14:35</t>
        </is>
      </c>
      <c r="F75" s="27" t="n"/>
      <c r="G75" s="27" t="n"/>
      <c r="H75" s="27" t="n"/>
      <c r="I75" s="28" t="n"/>
      <c r="J75" s="28" t="n"/>
    </row>
    <row r="76" ht="27.75" customHeight="1" s="23">
      <c r="A76" s="25" t="inlineStr">
        <is>
          <t>6</t>
        </is>
      </c>
      <c r="B76" s="25" t="inlineStr">
        <is>
          <t>11 Jan 2027</t>
        </is>
      </c>
      <c r="C76" s="25" t="inlineStr">
        <is>
          <t>15:30</t>
        </is>
      </c>
      <c r="D76" s="25" t="inlineStr">
        <is>
          <t>Balik Osaka: Keihan Kiyomizu-Gojo → Yodoyabashi → Midosuji → Namba</t>
        </is>
      </c>
      <c r="E76" s="25" t="n"/>
      <c r="F76" s="25" t="n"/>
      <c r="G76" s="25" t="inlineStr">
        <is>
          <t>¥430 + ¥240, ~1j15m. Sampai Namba ~16:45</t>
        </is>
      </c>
      <c r="H76" s="25" t="inlineStr">
        <is>
          <t>Transport</t>
        </is>
      </c>
      <c r="I76" s="26" t="n">
        <v>670</v>
      </c>
      <c r="J76" s="26">
        <f>I76*'Budget Summary'!$B$2</f>
        <v/>
      </c>
    </row>
    <row r="77" ht="27.75" customHeight="1" s="23">
      <c r="A77" s="27" t="inlineStr">
        <is>
          <t>6</t>
        </is>
      </c>
      <c r="B77" s="27" t="inlineStr">
        <is>
          <t>11 Jan 2027</t>
        </is>
      </c>
      <c r="C77" s="27" t="inlineStr">
        <is>
          <t>17:00</t>
        </is>
      </c>
      <c r="D77" s="27" t="inlineStr">
        <is>
          <t>Maghrib</t>
        </is>
      </c>
      <c r="E77" s="27" t="inlineStr">
        <is>
          <t>Maghrib 17:00</t>
        </is>
      </c>
      <c r="F77" s="27" t="n"/>
      <c r="G77" s="27" t="n"/>
      <c r="H77" s="27" t="n"/>
      <c r="I77" s="28" t="n"/>
      <c r="J77" s="28" t="n"/>
    </row>
    <row r="78" ht="27.75" customHeight="1" s="23">
      <c r="A78" s="29" t="inlineStr">
        <is>
          <t>6</t>
        </is>
      </c>
      <c r="B78" s="29" t="inlineStr">
        <is>
          <t>11 Jan 2027</t>
        </is>
      </c>
      <c r="C78" s="29" t="inlineStr">
        <is>
          <t>17:30</t>
        </is>
      </c>
      <c r="D78" s="29" t="inlineStr">
        <is>
          <t>Dinner — masak (habiskan baki bahan)</t>
        </is>
      </c>
      <c r="E78" s="29" t="n"/>
      <c r="F78" s="29" t="inlineStr">
        <is>
          <t>Masak</t>
        </is>
      </c>
      <c r="G78" s="29" t="n"/>
      <c r="H78" s="29" t="inlineStr">
        <is>
          <t>Food-Masak</t>
        </is>
      </c>
      <c r="I78" s="30" t="n">
        <v>700</v>
      </c>
      <c r="J78" s="30">
        <f>I78*'Budget Summary'!$B$2</f>
        <v/>
      </c>
    </row>
    <row r="79" ht="27.75" customHeight="1" s="23">
      <c r="A79" s="27" t="inlineStr">
        <is>
          <t>6</t>
        </is>
      </c>
      <c r="B79" s="27" t="inlineStr">
        <is>
          <t>11 Jan 2027</t>
        </is>
      </c>
      <c r="C79" s="27" t="inlineStr">
        <is>
          <t>18:20</t>
        </is>
      </c>
      <c r="D79" s="27" t="inlineStr">
        <is>
          <t>Isyak</t>
        </is>
      </c>
      <c r="E79" s="27" t="inlineStr">
        <is>
          <t>Isyak 18:20</t>
        </is>
      </c>
      <c r="F79" s="27" t="n"/>
      <c r="G79" s="27" t="n"/>
      <c r="H79" s="27" t="n"/>
      <c r="I79" s="28" t="n"/>
      <c r="J79" s="28" t="n"/>
    </row>
    <row r="80" ht="27.75" customHeight="1" s="23">
      <c r="A80" s="25" t="inlineStr">
        <is>
          <t>6</t>
        </is>
      </c>
      <c r="B80" s="25" t="inlineStr">
        <is>
          <t>11 Jan 2027</t>
        </is>
      </c>
      <c r="C80" s="25" t="inlineStr">
        <is>
          <t>19:00</t>
        </is>
      </c>
      <c r="D80" s="25" t="inlineStr">
        <is>
          <t>Kemas beg, tidur awal (flight awal esok!)</t>
        </is>
      </c>
      <c r="E80" s="25" t="n"/>
      <c r="F80" s="25" t="n"/>
      <c r="G80" s="25" t="n"/>
      <c r="H80" s="25" t="n"/>
      <c r="I80" s="26" t="n"/>
      <c r="J80" s="26" t="n"/>
    </row>
    <row r="81" ht="27.75" customHeight="1" s="23">
      <c r="A81" s="25" t="inlineStr">
        <is>
          <t>7
(Selasa)</t>
        </is>
      </c>
      <c r="B81" s="25" t="inlineStr">
        <is>
          <t>12 Jan 2027</t>
        </is>
      </c>
      <c r="C81" s="25" t="inlineStr">
        <is>
          <t>~04:30</t>
        </is>
      </c>
      <c r="D81" s="25" t="inlineStr">
        <is>
          <t>Bangun awal</t>
        </is>
      </c>
      <c r="E81" s="25" t="n"/>
      <c r="F81" s="25" t="n"/>
      <c r="G81" s="25" t="n"/>
      <c r="H81" s="25" t="n"/>
      <c r="I81" s="26" t="n"/>
      <c r="J81" s="26" t="n"/>
    </row>
    <row r="82" ht="27.75" customHeight="1" s="23">
      <c r="A82" s="25" t="inlineStr">
        <is>
          <t>7</t>
        </is>
      </c>
      <c r="B82" s="25" t="inlineStr">
        <is>
          <t>12 Jan 2027</t>
        </is>
      </c>
      <c r="C82" s="25" t="inlineStr">
        <is>
          <t>05:00</t>
        </is>
      </c>
      <c r="D82" s="25" t="inlineStr">
        <is>
          <t>Nankai Airport Express Namba → KIX</t>
        </is>
      </c>
      <c r="E82" s="25" t="n"/>
      <c r="F82" s="25" t="n"/>
      <c r="G82" s="25" t="inlineStr">
        <is>
          <t>¥970, ~45min</t>
        </is>
      </c>
      <c r="H82" s="25" t="inlineStr">
        <is>
          <t>Transport</t>
        </is>
      </c>
      <c r="I82" s="26" t="n">
        <v>970</v>
      </c>
      <c r="J82" s="26">
        <f>I82*'Budget Summary'!$B$2</f>
        <v/>
      </c>
    </row>
    <row r="83" ht="27.75" customHeight="1" s="23">
      <c r="A83" s="27" t="inlineStr">
        <is>
          <t>7</t>
        </is>
      </c>
      <c r="B83" s="27" t="inlineStr">
        <is>
          <t>12 Jan 2027</t>
        </is>
      </c>
      <c r="C83" s="27" t="inlineStr">
        <is>
          <t>~05:38</t>
        </is>
      </c>
      <c r="D83" s="27" t="inlineStr">
        <is>
          <t>Subuh (kat guesthouse sblm gerak / atas train)</t>
        </is>
      </c>
      <c r="E83" s="27" t="inlineStr">
        <is>
          <t>Subuh ~05:38</t>
        </is>
      </c>
      <c r="F83" s="27" t="n"/>
      <c r="G83" s="27" t="n"/>
      <c r="H83" s="27" t="n"/>
      <c r="I83" s="28" t="n"/>
      <c r="J83" s="28" t="n"/>
    </row>
    <row r="84" ht="27.75" customHeight="1" s="23">
      <c r="A84" s="25" t="inlineStr">
        <is>
          <t>7</t>
        </is>
      </c>
      <c r="B84" s="25" t="inlineStr">
        <is>
          <t>12 Jan 2027</t>
        </is>
      </c>
      <c r="C84" s="25" t="inlineStr">
        <is>
          <t>05:50</t>
        </is>
      </c>
      <c r="D84" s="25" t="inlineStr">
        <is>
          <t>Sampai KIX — check-in, imigresen, security</t>
        </is>
      </c>
      <c r="E84" s="25" t="n"/>
      <c r="F84" s="25" t="n"/>
      <c r="G84" s="25" t="inlineStr">
        <is>
          <t>Sampai ~2j sblm flight</t>
        </is>
      </c>
      <c r="H84" s="25" t="n"/>
      <c r="I84" s="26" t="n"/>
      <c r="J84" s="26" t="n"/>
    </row>
    <row r="85" ht="27.75" customHeight="1" s="23">
      <c r="A85" s="25" t="inlineStr">
        <is>
          <t>7</t>
        </is>
      </c>
      <c r="B85" s="25" t="inlineStr">
        <is>
          <t>12 Jan 2027</t>
        </is>
      </c>
      <c r="C85" s="25" t="inlineStr">
        <is>
          <t>07:10</t>
        </is>
      </c>
      <c r="D85" s="25" t="inlineStr">
        <is>
          <t>Boarding</t>
        </is>
      </c>
      <c r="E85" s="25" t="n"/>
      <c r="F85" s="25" t="n"/>
      <c r="G85" s="25" t="n"/>
      <c r="H85" s="25" t="n"/>
      <c r="I85" s="26" t="n"/>
      <c r="J85" s="26" t="n"/>
    </row>
    <row r="86" ht="27.75" customHeight="1" s="23">
      <c r="A86" s="25" t="inlineStr">
        <is>
          <t>7</t>
        </is>
      </c>
      <c r="B86" s="25" t="inlineStr">
        <is>
          <t>12 Jan 2027</t>
        </is>
      </c>
      <c r="C86" s="25" t="inlineStr">
        <is>
          <t>07:40</t>
        </is>
      </c>
      <c r="D86" s="25" t="inlineStr">
        <is>
          <t>Take off — balik Incheon</t>
        </is>
      </c>
      <c r="E86" s="25" t="n"/>
      <c r="F86" s="25" t="n"/>
      <c r="G86" s="25" t="n"/>
      <c r="H86" s="25" t="n"/>
      <c r="I86" s="26" t="n"/>
      <c r="J86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2" min="1" max="1"/>
    <col width="14" customWidth="1" style="22" min="2" max="3"/>
    <col width="16" customWidth="1" style="22" min="4" max="4"/>
    <col hidden="1" width="13" customWidth="1" style="22" min="5" max="5"/>
  </cols>
  <sheetData>
    <row r="1" ht="15" customHeight="1" s="23">
      <c r="A1" s="33" t="inlineStr">
        <is>
          <t>Andaian (Assumptions)</t>
        </is>
      </c>
    </row>
    <row r="2" ht="15" customHeight="1" s="23">
      <c r="A2" s="34" t="inlineStr">
        <is>
          <t>Kadar tukaran ¥ → ₩</t>
        </is>
      </c>
      <c r="B2" s="35" t="n">
        <v>9</v>
      </c>
      <c r="C2" s="36" t="inlineStr">
        <is>
          <t>≈ kadar semasa; SEMAK semula sebelum trip (₩/¥ berubah)</t>
        </is>
      </c>
    </row>
    <row r="4" ht="15" customHeight="1" s="23">
      <c r="A4" s="33" t="inlineStr">
        <is>
          <t>Kos Dah Bayar (Sunk cost)</t>
        </is>
      </c>
    </row>
    <row r="5" ht="15" customHeight="1" s="23">
      <c r="A5" s="24" t="inlineStr">
        <is>
          <t>Item</t>
        </is>
      </c>
      <c r="B5" s="24" t="inlineStr">
        <is>
          <t>/orang (₩)</t>
        </is>
      </c>
      <c r="C5" s="24" t="inlineStr">
        <is>
          <t>Sumber</t>
        </is>
      </c>
    </row>
    <row r="6" ht="23.85" customHeight="1" s="23">
      <c r="A6" s="25" t="inlineStr">
        <is>
          <t>Flight round-trip (Peach MM712)</t>
        </is>
      </c>
      <c r="B6" s="26" t="n">
        <v>304000</v>
      </c>
      <c r="C6" s="25" t="inlineStr">
        <is>
          <t>Tiket dah booking ✓</t>
        </is>
      </c>
    </row>
    <row r="7" ht="23.85" customHeight="1" s="23">
      <c r="A7" s="25" t="inlineStr">
        <is>
          <t>Guesthouse Osaka (6 malam)</t>
        </is>
      </c>
      <c r="B7" s="26" t="n">
        <v>52000</v>
      </c>
      <c r="C7" s="25" t="inlineStr">
        <is>
          <t>Trip.com booking ✓</t>
        </is>
      </c>
    </row>
    <row r="8" ht="15" customHeight="1" s="23">
      <c r="A8" s="37" t="inlineStr">
        <is>
          <t>Jumlah dah bayar</t>
        </is>
      </c>
      <c r="B8" s="38">
        <f>SUM(B6:B7)</f>
        <v/>
      </c>
      <c r="C8" s="37" t="n"/>
    </row>
    <row r="10" ht="15" customHeight="1" s="23">
      <c r="A10" s="33" t="inlineStr">
        <is>
          <t>Kos Baru — ikut Kategori (auto dari sheet Itinerary)</t>
        </is>
      </c>
    </row>
    <row r="11" ht="15" customHeight="1" s="23">
      <c r="A11" s="24" t="inlineStr">
        <is>
          <t>Kategori</t>
        </is>
      </c>
      <c r="B11" s="24" t="inlineStr">
        <is>
          <t>/orang (¥)</t>
        </is>
      </c>
      <c r="C11" s="24" t="inlineStr">
        <is>
          <t>/orang (₩)</t>
        </is>
      </c>
      <c r="D11" s="24" t="inlineStr">
        <is>
          <t>6 orang (₩)</t>
        </is>
      </c>
    </row>
    <row r="12" ht="15" customHeight="1" s="23">
      <c r="A12" s="25" t="inlineStr">
        <is>
          <t>Transport (bas/train intercity + local)</t>
        </is>
      </c>
      <c r="B12" s="26">
        <f>SUMIF(Itinerary!$H$2:$H$86,E12,Itinerary!$I$2:$I$86)</f>
        <v/>
      </c>
      <c r="C12" s="26">
        <f>B12*$B$2</f>
        <v/>
      </c>
      <c r="D12" s="26">
        <f>C12*6</f>
        <v/>
      </c>
      <c r="E12" s="22" t="inlineStr">
        <is>
          <t>Transport</t>
        </is>
      </c>
    </row>
    <row r="13" ht="15" customHeight="1" s="23">
      <c r="A13" s="25" t="inlineStr">
        <is>
          <t>Osaka Amazing Pass</t>
        </is>
      </c>
      <c r="B13" s="26">
        <f>SUMIF(Itinerary!$H$2:$H$86,E13,Itinerary!$I$2:$I$86)</f>
        <v/>
      </c>
      <c r="C13" s="26">
        <f>B13*$B$2</f>
        <v/>
      </c>
      <c r="D13" s="26">
        <f>C13*6</f>
        <v/>
      </c>
      <c r="E13" s="22" t="inlineStr">
        <is>
          <t>Pass</t>
        </is>
      </c>
    </row>
    <row r="14" ht="15" customHeight="1" s="23">
      <c r="A14" s="25" t="inlineStr">
        <is>
          <t>Penginapan tambahan (manga cafe Tokyo x2)</t>
        </is>
      </c>
      <c r="B14" s="26">
        <f>SUMIF(Itinerary!$H$2:$H$86,E14,Itinerary!$I$2:$I$86)</f>
        <v/>
      </c>
      <c r="C14" s="26">
        <f>B14*$B$2</f>
        <v/>
      </c>
      <c r="D14" s="26">
        <f>C14*6</f>
        <v/>
      </c>
      <c r="E14" s="22" t="inlineStr">
        <is>
          <t>Accommodation</t>
        </is>
      </c>
    </row>
    <row r="15" ht="15" customHeight="1" s="23">
      <c r="A15" s="25" t="inlineStr">
        <is>
          <t>Makanan — masak sendiri</t>
        </is>
      </c>
      <c r="B15" s="26">
        <f>SUMIF(Itinerary!$H$2:$H$86,E15,Itinerary!$I$2:$I$86)</f>
        <v/>
      </c>
      <c r="C15" s="26">
        <f>B15*$B$2</f>
        <v/>
      </c>
      <c r="D15" s="26">
        <f>C15*6</f>
        <v/>
      </c>
      <c r="E15" s="22" t="inlineStr">
        <is>
          <t>Food-Masak</t>
        </is>
      </c>
    </row>
    <row r="16" ht="15" customHeight="1" s="23">
      <c r="A16" s="25" t="inlineStr">
        <is>
          <t>Makanan — makan luar (halal)</t>
        </is>
      </c>
      <c r="B16" s="26">
        <f>SUMIF(Itinerary!$H$2:$H$86,E16,Itinerary!$I$2:$I$86)</f>
        <v/>
      </c>
      <c r="C16" s="26">
        <f>B16*$B$2</f>
        <v/>
      </c>
      <c r="D16" s="26">
        <f>C16*6</f>
        <v/>
      </c>
      <c r="E16" s="22" t="inlineStr">
        <is>
          <t>Food-Luar</t>
        </is>
      </c>
    </row>
    <row r="17" ht="15" customHeight="1" s="23">
      <c r="A17" s="25" t="inlineStr">
        <is>
          <t>Makanan — bekal dibawa</t>
        </is>
      </c>
      <c r="B17" s="26">
        <f>SUMIF(Itinerary!$H$2:$H$86,E17,Itinerary!$I$2:$I$86)</f>
        <v/>
      </c>
      <c r="C17" s="26">
        <f>B17*$B$2</f>
        <v/>
      </c>
      <c r="D17" s="26">
        <f>C17*6</f>
        <v/>
      </c>
      <c r="E17" s="22" t="inlineStr">
        <is>
          <t>Food-Bekal</t>
        </is>
      </c>
    </row>
    <row r="18" ht="15" customHeight="1" s="23">
      <c r="A18" s="25" t="inlineStr">
        <is>
          <t>Attraction optional (boleh skip)</t>
        </is>
      </c>
      <c r="B18" s="26">
        <f>SUMIF(Itinerary!$H$2:$H$86,E18,Itinerary!$I$2:$I$86)</f>
        <v/>
      </c>
      <c r="C18" s="26">
        <f>B18*$B$2</f>
        <v/>
      </c>
      <c r="D18" s="26">
        <f>C18*6</f>
        <v/>
      </c>
      <c r="E18" s="22" t="inlineStr">
        <is>
          <t>Attraction-Optional</t>
        </is>
      </c>
    </row>
    <row r="19" ht="15" customHeight="1" s="23">
      <c r="A19" s="37" t="inlineStr">
        <is>
          <t>Jumlah kos baru (termasuk optional)</t>
        </is>
      </c>
      <c r="B19" s="38">
        <f>SUM(B12:B18)</f>
        <v/>
      </c>
      <c r="C19" s="38">
        <f>SUM(C12:C18)</f>
        <v/>
      </c>
      <c r="D19" s="38">
        <f>SUM(D12:D18)</f>
        <v/>
      </c>
    </row>
    <row r="21" ht="15" customHeight="1" s="23">
      <c r="A21" s="25" t="inlineStr">
        <is>
          <t>Shopping &amp; buffer (anggaran, bukan formula)</t>
        </is>
      </c>
      <c r="B21" s="26" t="n">
        <v>10000</v>
      </c>
      <c r="C21" s="26">
        <f>B21*$B$2</f>
        <v/>
      </c>
      <c r="D21" s="26">
        <f>C21*6</f>
        <v/>
      </c>
    </row>
    <row r="23" ht="15" customHeight="1" s="23">
      <c r="A23" s="33" t="inlineStr">
        <is>
          <t>GRAND TOTAL / orang (₩)</t>
        </is>
      </c>
      <c r="C23" s="39">
        <f>B8+C19+C21</f>
        <v/>
      </c>
    </row>
    <row r="24" ht="15" customHeight="1" s="23">
      <c r="A24" s="33" t="inlineStr">
        <is>
          <t>GRAND TOTAL / 6 orang (₩)</t>
        </is>
      </c>
      <c r="C24" s="39">
        <f>C23*6</f>
        <v/>
      </c>
    </row>
    <row r="26" ht="30" customHeight="1" s="23">
      <c r="A26" s="40" t="inlineStr">
        <is>
          <t>Nota: Food-Bekal (Hari 5 lunch) dah termasuk dalam pembelian Hari 4 dinner. Kos masak = anggaran groceries sahaja, ANDAI guesthouse ada dapur — SAHKAN dengan host dulu.</t>
        </is>
      </c>
    </row>
  </sheetData>
  <mergeCells count="1">
    <mergeCell ref="A26:D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2" min="1" max="1"/>
    <col width="20" customWidth="1" style="22" min="2" max="3"/>
  </cols>
  <sheetData>
    <row r="1" ht="15" customHeight="1" s="23">
      <c r="A1" s="41" t="inlineStr">
        <is>
          <t>Anggaran Waktu Solat (6-12 Jan) — SAHKAN dengan app (Muslim Pro/IslamicFinder) bila sampai</t>
        </is>
      </c>
    </row>
    <row r="3" ht="26.85" customHeight="1" s="23">
      <c r="A3" s="24" t="inlineStr">
        <is>
          <t>Waktu</t>
        </is>
      </c>
      <c r="B3" s="24" t="inlineStr">
        <is>
          <t>Osaka/Kansai</t>
        </is>
      </c>
      <c r="C3" s="24" t="inlineStr">
        <is>
          <t>Tokyo/Kawaguchiko</t>
        </is>
      </c>
    </row>
    <row r="4" ht="15" customHeight="1" s="23">
      <c r="A4" s="25" t="inlineStr">
        <is>
          <t>Subuh</t>
        </is>
      </c>
      <c r="B4" s="25" t="inlineStr">
        <is>
          <t>~05:38</t>
        </is>
      </c>
      <c r="C4" s="25" t="inlineStr">
        <is>
          <t>~05:22</t>
        </is>
      </c>
    </row>
    <row r="5" ht="15" customHeight="1" s="23">
      <c r="A5" s="25" t="inlineStr">
        <is>
          <t>Syuruk (matahari terbit)</t>
        </is>
      </c>
      <c r="B5" s="25" t="inlineStr">
        <is>
          <t>~07:05</t>
        </is>
      </c>
      <c r="C5" s="25" t="inlineStr">
        <is>
          <t>~06:51</t>
        </is>
      </c>
    </row>
    <row r="6" ht="15" customHeight="1" s="23">
      <c r="A6" s="25" t="inlineStr">
        <is>
          <t>Zohor</t>
        </is>
      </c>
      <c r="B6" s="25" t="inlineStr">
        <is>
          <t>~12:00</t>
        </is>
      </c>
      <c r="C6" s="25" t="inlineStr">
        <is>
          <t>~11:47</t>
        </is>
      </c>
    </row>
    <row r="7" ht="15" customHeight="1" s="23">
      <c r="A7" s="25" t="inlineStr">
        <is>
          <t>Asar</t>
        </is>
      </c>
      <c r="B7" s="25" t="inlineStr">
        <is>
          <t>~14:35</t>
        </is>
      </c>
      <c r="C7" s="25" t="inlineStr">
        <is>
          <t>~14:20</t>
        </is>
      </c>
    </row>
    <row r="8" ht="15" customHeight="1" s="23">
      <c r="A8" s="25" t="inlineStr">
        <is>
          <t>Maghrib</t>
        </is>
      </c>
      <c r="B8" s="25" t="inlineStr">
        <is>
          <t>~17:00</t>
        </is>
      </c>
      <c r="C8" s="25" t="inlineStr">
        <is>
          <t>~16:45</t>
        </is>
      </c>
    </row>
    <row r="9" ht="15" customHeight="1" s="23">
      <c r="A9" s="25" t="inlineStr">
        <is>
          <t>Isyak</t>
        </is>
      </c>
      <c r="B9" s="25" t="inlineStr">
        <is>
          <t>~18:20</t>
        </is>
      </c>
      <c r="C9" s="25" t="inlineStr">
        <is>
          <t>~18:05</t>
        </is>
      </c>
    </row>
    <row r="11" ht="22.35" customHeight="1" s="23">
      <c r="A11" s="42" t="inlineStr">
        <is>
          <t>Sumber matahari terbit/terbenam: National Astronomical Observatory of Japan (NAOJ), Jan 2026 data (guna sebagai anggaran — beza tahun 2027 hanya saat, boleh abaikan).</t>
        </is>
      </c>
    </row>
    <row r="13" ht="45" customHeight="1" s="23">
      <c r="A13" s="43" t="inlineStr">
        <is>
          <t>PENTING — Hari 3, 5, 6: Subuh mungkin jatuh time atas bas overnight. Sedia air sembahyang/tayammum kering, guna qiblat app, dan boleh jamak/qada bila sampai destinasi kalau betul-betul tak boleh solat atas bas.</t>
        </is>
      </c>
    </row>
  </sheetData>
  <mergeCells count="3">
    <mergeCell ref="A1:C1"/>
    <mergeCell ref="A13:C13"/>
    <mergeCell ref="A11:C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2026-09-22T06:06:16Z</dcterms:created>
  <dcterms:modified xsi:type="dcterms:W3CDTF">2026-09-29T05:03:29Z</dcterms:modified>
  <cp:revision>0</cp:revision>
</cp:coreProperties>
</file>