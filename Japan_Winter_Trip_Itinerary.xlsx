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inerary" sheetId="1" state="visible" r:id="rId3"/>
    <sheet name="Budget Summary" sheetId="2" state="visible" r:id="rId4"/>
    <sheet name="Waktu Solat Rujuk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<sst xmlns="http://schemas.openxmlformats.org/spreadsheetml/2006/main" count="503" uniqueCount="235">
  <si>
    <t xml:space="preserve">Hari</t>
  </si>
  <si>
    <t xml:space="preserve">Tarikh</t>
  </si>
  <si>
    <t xml:space="preserve">Masa</t>
  </si>
  <si>
    <t xml:space="preserve">Aktiviti / Lokasi</t>
  </si>
  <si>
    <t xml:space="preserve">Solat</t>
  </si>
  <si>
    <t xml:space="preserve">Makan (Halal)</t>
  </si>
  <si>
    <t xml:space="preserve">Transport / Nota</t>
  </si>
  <si>
    <t xml:space="preserve">Kategori</t>
  </si>
  <si>
    <t xml:space="preserve">Kos/orang (¥)</t>
  </si>
  <si>
    <t xml:space="preserve">Kos/orang (₩)</t>
  </si>
  <si>
    <t xml:space="preserve">1
(Rabu)</t>
  </si>
  <si>
    <t xml:space="preserve">6 Jan 2027</t>
  </si>
  <si>
    <t xml:space="preserve">09:15</t>
  </si>
  <si>
    <t xml:space="preserve">Landed KIX (Peach MM712, confirmed — pagi, BUKAN malam)</t>
  </si>
  <si>
    <t xml:space="preserve">1</t>
  </si>
  <si>
    <t xml:space="preserve">Imigresen + bagasi</t>
  </si>
  <si>
    <t xml:space="preserve">~30-45min</t>
  </si>
  <si>
    <t xml:space="preserve">10:15</t>
  </si>
  <si>
    <t xml:space="preserve">Nankai Airport Express → Namba</t>
  </si>
  <si>
    <t xml:space="preserve">Nankai Airport Express, ¥970, ~45min</t>
  </si>
  <si>
    <t xml:space="preserve">Transport</t>
  </si>
  <si>
    <t xml:space="preserve">11:00</t>
  </si>
  <si>
    <t xml:space="preserve">Sampai Namba — Kuromon Market (bags dulu, check-in guesthouse biasa 3pm)</t>
  </si>
  <si>
    <t xml:space="preserve">Simpan bagasi kat coin locker stesen kalau nak</t>
  </si>
  <si>
    <t xml:space="preserve">12:00</t>
  </si>
  <si>
    <t xml:space="preserve">Zohor (kawasan Namba/Kuromon)</t>
  </si>
  <si>
    <t xml:space="preserve">Zohor 12:00</t>
  </si>
  <si>
    <t xml:space="preserve">12:30</t>
  </si>
  <si>
    <t xml:space="preserve">Lunch — halal dekat Kuromon/Namba (guesthouse belum check-in)</t>
  </si>
  <si>
    <t xml:space="preserve">Makan luar (halal)</t>
  </si>
  <si>
    <t xml:space="preserve">Food-Luar</t>
  </si>
  <si>
    <t xml:space="preserve">14:00</t>
  </si>
  <si>
    <t xml:space="preserve">Check-in guesthouse, letak bagasi</t>
  </si>
  <si>
    <t xml:space="preserve">14:35</t>
  </si>
  <si>
    <t xml:space="preserve">Asar</t>
  </si>
  <si>
    <t xml:space="preserve">Asar 14:35</t>
  </si>
  <si>
    <t xml:space="preserve">15:00</t>
  </si>
  <si>
    <t xml:space="preserve">Explore Namba/Shinsaibashi (santai, tak payah rush hari pertama)</t>
  </si>
  <si>
    <t xml:space="preserve">17:00</t>
  </si>
  <si>
    <t xml:space="preserve">Maghrib</t>
  </si>
  <si>
    <t xml:space="preserve">Maghrib 17:00</t>
  </si>
  <si>
    <t xml:space="preserve">17:30</t>
  </si>
  <si>
    <t xml:space="preserve">Dinner — halal dekat Dotonbori/Namba</t>
  </si>
  <si>
    <t xml:space="preserve">18:20</t>
  </si>
  <si>
    <t xml:space="preserve">Isyak</t>
  </si>
  <si>
    <t xml:space="preserve">Isyak 18:20</t>
  </si>
  <si>
    <t xml:space="preserve">19:00</t>
  </si>
  <si>
    <t xml:space="preserve">Dotonbori night walk — Glico sign, canal, kushikatsu crawl (window-shop je kalau dah makan)</t>
  </si>
  <si>
    <t xml:space="preserve">21:30</t>
  </si>
  <si>
    <t xml:space="preserve">Balik guesthouse, rehat</t>
  </si>
  <si>
    <t xml:space="preserve">2
(Khamis)</t>
  </si>
  <si>
    <t xml:space="preserve">7 Jan 2027</t>
  </si>
  <si>
    <t xml:space="preserve">05:38</t>
  </si>
  <si>
    <t xml:space="preserve">Subuh</t>
  </si>
  <si>
    <t xml:space="preserve">Subuh 05:38</t>
  </si>
  <si>
    <t xml:space="preserve">2</t>
  </si>
  <si>
    <t xml:space="preserve">06:30</t>
  </si>
  <si>
    <t xml:space="preserve">Breakfast — masak simple kat guesthouse (roti/telur)</t>
  </si>
  <si>
    <t xml:space="preserve">Masak</t>
  </si>
  <si>
    <t xml:space="preserve">SAHKAN dapur guesthouse ada</t>
  </si>
  <si>
    <t xml:space="preserve">Food-Masak</t>
  </si>
  <si>
    <t xml:space="preserve">08:00</t>
  </si>
  <si>
    <t xml:space="preserve">Beli Osaka Amazing Pass 1-day</t>
  </si>
  <si>
    <t xml:space="preserve">Cover metro + Castle + Umeda Sky + Tsutenkaku</t>
  </si>
  <si>
    <t xml:space="preserve">Pass</t>
  </si>
  <si>
    <t xml:space="preserve">09:00</t>
  </si>
  <si>
    <t xml:space="preserve">Osaka Castle</t>
  </si>
  <si>
    <t xml:space="preserve">Zohor (kawasan taman castle)</t>
  </si>
  <si>
    <t xml:space="preserve">Lunch — halal dekat Umeda/Namba</t>
  </si>
  <si>
    <t xml:space="preserve">Umeda Sky Building (PENTING: free entry tutup 3pm!)</t>
  </si>
  <si>
    <t xml:space="preserve">Guna Amazing Pass sebelum 15:00</t>
  </si>
  <si>
    <t xml:space="preserve">15:30</t>
  </si>
  <si>
    <t xml:space="preserve">Tsutenkaku Tower / Shinsekai</t>
  </si>
  <si>
    <t xml:space="preserve">Guna Amazing Pass</t>
  </si>
  <si>
    <t xml:space="preserve">Dinner — halal Shinsekai (sebelum naik bas)</t>
  </si>
  <si>
    <t xml:space="preserve">Balik guesthouse, kemas beg</t>
  </si>
  <si>
    <t xml:space="preserve">23:00</t>
  </si>
  <si>
    <t xml:space="preserve">Bas overnight Osaka → Tokyo (tidur atas bas)</t>
  </si>
  <si>
    <t xml:space="preserve">Willer Express, ¥2,000-4,000, ~8-9j</t>
  </si>
  <si>
    <t xml:space="preserve">3
(Jumaat)</t>
  </si>
  <si>
    <t xml:space="preserve">8 Jan 2027</t>
  </si>
  <si>
    <t xml:space="preserve">~05:22</t>
  </si>
  <si>
    <t xml:space="preserve">Subuh (atas bas — anggar kiblat/qada bila sampai)</t>
  </si>
  <si>
    <t xml:space="preserve">Subuh ~05:22</t>
  </si>
  <si>
    <t xml:space="preserve">3</t>
  </si>
  <si>
    <t xml:space="preserve">~07:30</t>
  </si>
  <si>
    <t xml:space="preserve">Sampai Tokyo (bus terminal Shinjuku)</t>
  </si>
  <si>
    <t xml:space="preserve">Freshen up kat terminal</t>
  </si>
  <si>
    <t xml:space="preserve">Breakfast — onigiri/roti halal-safe</t>
  </si>
  <si>
    <t xml:space="preserve">08:30</t>
  </si>
  <si>
    <t xml:space="preserve">Local transport Tokyo (metro/IC card)</t>
  </si>
  <si>
    <t xml:space="preserve">~¥800/hari</t>
  </si>
  <si>
    <t xml:space="preserve">Asakusa Senso-ji (percuma)</t>
  </si>
  <si>
    <t xml:space="preserve">11:47</t>
  </si>
  <si>
    <t xml:space="preserve">Zohor (cadangan: Tokyo Camii, Yoyogi-Uehara)</t>
  </si>
  <si>
    <t xml:space="preserve">Zohor 11:47</t>
  </si>
  <si>
    <t xml:space="preserve">12:15</t>
  </si>
  <si>
    <t xml:space="preserve">Lunch — halal dekat Tokyo Camii/Shin-Okubo</t>
  </si>
  <si>
    <t xml:space="preserve">14:20</t>
  </si>
  <si>
    <t xml:space="preserve">Asar 14:20</t>
  </si>
  <si>
    <t xml:space="preserve">14:30</t>
  </si>
  <si>
    <t xml:space="preserve">Shibuya / Harajuku</t>
  </si>
  <si>
    <t xml:space="preserve">16:45</t>
  </si>
  <si>
    <t xml:space="preserve">Maghrib 16:45</t>
  </si>
  <si>
    <t xml:space="preserve">17:15</t>
  </si>
  <si>
    <t xml:space="preserve">Dinner — halal Shinjuku area</t>
  </si>
  <si>
    <t xml:space="preserve">18:05</t>
  </si>
  <si>
    <t xml:space="preserve">Isyak 18:05</t>
  </si>
  <si>
    <t xml:space="preserve">Check-in manga cafe (private booth)</t>
  </si>
  <si>
    <t xml:space="preserve">¥1,700-3,500/malam</t>
  </si>
  <si>
    <t xml:space="preserve">Accommodation</t>
  </si>
  <si>
    <t xml:space="preserve">4
(Sabtu)</t>
  </si>
  <si>
    <t xml:space="preserve">9 Jan 2027</t>
  </si>
  <si>
    <t xml:space="preserve">05:22</t>
  </si>
  <si>
    <t xml:space="preserve">Subuh (manga cafe / musolla berdekatan)</t>
  </si>
  <si>
    <t xml:space="preserve">Subuh 05:22</t>
  </si>
  <si>
    <t xml:space="preserve">4</t>
  </si>
  <si>
    <t xml:space="preserve">07:00</t>
  </si>
  <si>
    <t xml:space="preserve">Breakfast — conbini halal-safe (onigiri salmon/tuna)</t>
  </si>
  <si>
    <t xml:space="preserve">Local transport Tokyo</t>
  </si>
  <si>
    <t xml:space="preserve">Shinjuku Gyoen / Akihabara</t>
  </si>
  <si>
    <t xml:space="preserve">Zohor</t>
  </si>
  <si>
    <t xml:space="preserve">Lunch — halal</t>
  </si>
  <si>
    <t xml:space="preserve">Explore lagi (Shibuya Sky — OPTIONAL, boleh skip)</t>
  </si>
  <si>
    <t xml:space="preserve">Optional attraction</t>
  </si>
  <si>
    <t xml:space="preserve">Attraction-Optional</t>
  </si>
  <si>
    <t xml:space="preserve">Dinner — halal (beli EXTRA utk bekal esok!)</t>
  </si>
  <si>
    <t xml:space="preserve">Beli bekal halal utk esok (Kawaguchiko takde halal food)</t>
  </si>
  <si>
    <t xml:space="preserve">Bekal</t>
  </si>
  <si>
    <t xml:space="preserve">Food-Bekal</t>
  </si>
  <si>
    <t xml:space="preserve">20:00</t>
  </si>
  <si>
    <t xml:space="preserve">Check-in manga cafe</t>
  </si>
  <si>
    <t xml:space="preserve">5
(Ahad)</t>
  </si>
  <si>
    <t xml:space="preserve">10 Jan 2027</t>
  </si>
  <si>
    <t xml:space="preserve">5</t>
  </si>
  <si>
    <t xml:space="preserve">Breakfast — bekal/conbini</t>
  </si>
  <si>
    <t xml:space="preserve">Bas Shinjuku → Kawaguchiko</t>
  </si>
  <si>
    <t xml:space="preserve">Highway bus, ¥2,000-2,200, ~1j45m</t>
  </si>
  <si>
    <t xml:space="preserve">09:45</t>
  </si>
  <si>
    <t xml:space="preserve">Sampai Kawaguchiko — spot Fuji (Chureito Pagoda/Lake)</t>
  </si>
  <si>
    <t xml:space="preserve">11:50</t>
  </si>
  <si>
    <t xml:space="preserve">Zohor (luar — bawa sejadah + kompas kiblat app)</t>
  </si>
  <si>
    <t xml:space="preserve">Zohor ~11:50</t>
  </si>
  <si>
    <t xml:space="preserve">Lunch — bekal yang dibawa dari Tokyo</t>
  </si>
  <si>
    <t xml:space="preserve">Bekal (dah dibeli)</t>
  </si>
  <si>
    <t xml:space="preserve">TAKDE halal food kat Kawaguchiko</t>
  </si>
  <si>
    <t xml:space="preserve">14:15</t>
  </si>
  <si>
    <t xml:space="preserve">Asar ~14:15</t>
  </si>
  <si>
    <t xml:space="preserve">16:00</t>
  </si>
  <si>
    <t xml:space="preserve">Explore lagi / gambar area lake</t>
  </si>
  <si>
    <t xml:space="preserve">Maghrib (view Fuji + sunset)</t>
  </si>
  <si>
    <t xml:space="preserve">Maghrib ~16:45</t>
  </si>
  <si>
    <t xml:space="preserve">Dinner — snack/bekal tambahan (beli kat konbini stesen)</t>
  </si>
  <si>
    <t xml:space="preserve">Snack/Bekal</t>
  </si>
  <si>
    <t xml:space="preserve">18:00</t>
  </si>
  <si>
    <t xml:space="preserve">Isyak ~18:00</t>
  </si>
  <si>
    <t xml:space="preserve">20:47</t>
  </si>
  <si>
    <t xml:space="preserve">Bas overnight Kawaguchiko → Osaka (tidur atas bas)</t>
  </si>
  <si>
    <t xml:space="preserve">Fujiyama Liner (Fujikyu), ¥6,700-8,700, ~10j</t>
  </si>
  <si>
    <t xml:space="preserve">6
(Isnin)</t>
  </si>
  <si>
    <t xml:space="preserve">11 Jan 2027</t>
  </si>
  <si>
    <t xml:space="preserve">~05:38</t>
  </si>
  <si>
    <t xml:space="preserve">Subuh (atas bas — anggar kiblat)</t>
  </si>
  <si>
    <t xml:space="preserve">Subuh ~05:38</t>
  </si>
  <si>
    <t xml:space="preserve">6</t>
  </si>
  <si>
    <t xml:space="preserve">06:53</t>
  </si>
  <si>
    <t xml:space="preserve">Sampai Osaka</t>
  </si>
  <si>
    <t xml:space="preserve">07:30</t>
  </si>
  <si>
    <t xml:space="preserve">Breakfast — masak kat guesthouse</t>
  </si>
  <si>
    <t xml:space="preserve">10:00</t>
  </si>
  <si>
    <t xml:space="preserve">Free time — shopping/rehat/basuh baju</t>
  </si>
  <si>
    <t xml:space="preserve">Lunch — masak simple</t>
  </si>
  <si>
    <t xml:space="preserve">Last-minute shopping / kemas beg</t>
  </si>
  <si>
    <t xml:space="preserve">Dinner — masak (habiskan baki bahan)</t>
  </si>
  <si>
    <t xml:space="preserve">Kemas beg, tidur awal (flight awal esok!)</t>
  </si>
  <si>
    <t xml:space="preserve">7
(Selasa)</t>
  </si>
  <si>
    <t xml:space="preserve">12 Jan 2027</t>
  </si>
  <si>
    <t xml:space="preserve">~04:30</t>
  </si>
  <si>
    <t xml:space="preserve">Bangun awal</t>
  </si>
  <si>
    <t xml:space="preserve">7</t>
  </si>
  <si>
    <t xml:space="preserve">05:00</t>
  </si>
  <si>
    <t xml:space="preserve">Nankai Airport Express Namba → KIX</t>
  </si>
  <si>
    <t xml:space="preserve">¥970, ~45min</t>
  </si>
  <si>
    <t xml:space="preserve">Subuh (kat guesthouse sblm gerak / atas train)</t>
  </si>
  <si>
    <t xml:space="preserve">05:50</t>
  </si>
  <si>
    <t xml:space="preserve">Sampai KIX — check-in, imigresen, security</t>
  </si>
  <si>
    <t xml:space="preserve">Sampai ~2j sblm flight</t>
  </si>
  <si>
    <t xml:space="preserve">07:10</t>
  </si>
  <si>
    <t xml:space="preserve">Boarding</t>
  </si>
  <si>
    <t xml:space="preserve">07:40</t>
  </si>
  <si>
    <t xml:space="preserve">Take off — balik Incheon</t>
  </si>
  <si>
    <t xml:space="preserve">Andaian (Assumptions)</t>
  </si>
  <si>
    <t xml:space="preserve">Kadar tukaran ¥ → ₩</t>
  </si>
  <si>
    <t xml:space="preserve">≈ kadar semasa; SEMAK semula sebelum trip (₩/¥ berubah)</t>
  </si>
  <si>
    <t xml:space="preserve">Kos Dah Bayar (Sunk cost)</t>
  </si>
  <si>
    <t xml:space="preserve">Item</t>
  </si>
  <si>
    <t xml:space="preserve">/orang (₩)</t>
  </si>
  <si>
    <t xml:space="preserve">Sumber</t>
  </si>
  <si>
    <t xml:space="preserve">Flight round-trip (Peach MM712)</t>
  </si>
  <si>
    <t xml:space="preserve">Tiket dah booking ✓</t>
  </si>
  <si>
    <t xml:space="preserve">Guesthouse Osaka (6 malam)</t>
  </si>
  <si>
    <t xml:space="preserve">Trip.com booking ✓</t>
  </si>
  <si>
    <t xml:space="preserve">Jumlah dah bayar</t>
  </si>
  <si>
    <t xml:space="preserve">Kos Baru — ikut Kategori (auto dari sheet Itinerary)</t>
  </si>
  <si>
    <t xml:space="preserve">/orang (¥)</t>
  </si>
  <si>
    <t xml:space="preserve">6 orang (₩)</t>
  </si>
  <si>
    <t xml:space="preserve">Transport (bas/train intercity + local)</t>
  </si>
  <si>
    <t xml:space="preserve">Osaka Amazing Pass</t>
  </si>
  <si>
    <t xml:space="preserve">Penginapan tambahan (manga cafe Tokyo x2)</t>
  </si>
  <si>
    <t xml:space="preserve">Makanan — masak sendiri</t>
  </si>
  <si>
    <t xml:space="preserve">Makanan — makan luar (halal)</t>
  </si>
  <si>
    <t xml:space="preserve">Makanan — bekal dibawa</t>
  </si>
  <si>
    <t xml:space="preserve">Attraction optional (boleh skip)</t>
  </si>
  <si>
    <t xml:space="preserve">Jumlah kos baru (termasuk optional)</t>
  </si>
  <si>
    <t xml:space="preserve">Shopping &amp; buffer (anggaran, bukan formula)</t>
  </si>
  <si>
    <t xml:space="preserve">GRAND TOTAL / orang (₩)</t>
  </si>
  <si>
    <t xml:space="preserve">GRAND TOTAL / 6 orang (₩)</t>
  </si>
  <si>
    <t xml:space="preserve">Nota: Food-Bekal (Hari 5 lunch) dah termasuk dalam pembelian Hari 4 dinner. Kos masak = anggaran groceries sahaja, ANDAI guesthouse ada dapur — SAHKAN dengan host dulu.</t>
  </si>
  <si>
    <t xml:space="preserve">Anggaran Waktu Solat (6-12 Jan) — SAHKAN dengan app (Muslim Pro/IslamicFinder) bila sampai</t>
  </si>
  <si>
    <t xml:space="preserve">Waktu</t>
  </si>
  <si>
    <t xml:space="preserve">Osaka/Kansai</t>
  </si>
  <si>
    <t xml:space="preserve">Tokyo/Kawaguchiko</t>
  </si>
  <si>
    <t xml:space="preserve">Syuruk (matahari terbit)</t>
  </si>
  <si>
    <t xml:space="preserve">~07:05</t>
  </si>
  <si>
    <t xml:space="preserve">~06:51</t>
  </si>
  <si>
    <t xml:space="preserve">~12:00</t>
  </si>
  <si>
    <t xml:space="preserve">~11:47</t>
  </si>
  <si>
    <t xml:space="preserve">~14:35</t>
  </si>
  <si>
    <t xml:space="preserve">~14:20</t>
  </si>
  <si>
    <t xml:space="preserve">~17:00</t>
  </si>
  <si>
    <t xml:space="preserve">~16:45</t>
  </si>
  <si>
    <t xml:space="preserve">~18:20</t>
  </si>
  <si>
    <t xml:space="preserve">~18:05</t>
  </si>
  <si>
    <t xml:space="preserve">Sumber matahari terbit/terbenam: National Astronomical Observatory of Japan (NAOJ), Jan 2026 data (guna sebagai anggaran — beza tahun 2027 hanya saat, boleh abaikan).</t>
  </si>
  <si>
    <t xml:space="preserve">PENTING — Hari 3, 5, 6: Subuh mungkin jatuh time atas bas overnight. Sedia air sembahyang/tayammum kering, guna qiblat app, dan boleh jamak/qada bila sampai destinasi kalau betul-betul tak boleh solat atas bas.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</si>
</sst>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B4C7E"/>
        <bgColor rgb="FF003366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B4C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42"/>
    <col collapsed="false" customWidth="true" hidden="false" outlineLevel="0" max="6" min="5" style="0" width="14"/>
    <col collapsed="false" customWidth="true" hidden="false" outlineLevel="0" max="7" min="7" style="0" width="30"/>
    <col collapsed="false" customWidth="true" hidden="false" outlineLevel="0" max="8" min="8" style="0" width="15"/>
    <col collapsed="false" customWidth="true" hidden="false" outlineLevel="0" max="10" min="9" style="0" width="12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7.75" hidden="false" customHeight="tru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/>
      <c r="F2" s="2"/>
      <c r="G2" s="2"/>
      <c r="H2" s="2"/>
      <c r="I2" s="3"/>
      <c r="J2" s="3"/>
    </row>
    <row r="3" customFormat="false" ht="27.75" hidden="false" customHeight="true" outlineLevel="0" collapsed="false">
      <c r="A3" s="2" t="s">
        <v>14</v>
      </c>
      <c r="B3" s="2" t="s">
        <v>11</v>
      </c>
      <c r="C3" s="2" t="s">
        <v>12</v>
      </c>
      <c r="D3" s="2" t="s">
        <v>15</v>
      </c>
      <c r="E3" s="2"/>
      <c r="F3" s="2"/>
      <c r="G3" s="2" t="s">
        <v>16</v>
      </c>
      <c r="H3" s="2"/>
      <c r="I3" s="3"/>
      <c r="J3" s="3"/>
    </row>
    <row r="4" customFormat="false" ht="27.75" hidden="false" customHeight="true" outlineLevel="0" collapsed="false">
      <c r="A4" s="2" t="s">
        <v>14</v>
      </c>
      <c r="B4" s="2" t="s">
        <v>11</v>
      </c>
      <c r="C4" s="2" t="s">
        <v>17</v>
      </c>
      <c r="D4" s="2" t="s">
        <v>18</v>
      </c>
      <c r="E4" s="2"/>
      <c r="F4" s="2"/>
      <c r="G4" s="2" t="s">
        <v>19</v>
      </c>
      <c r="H4" s="2" t="s">
        <v>20</v>
      </c>
      <c r="I4" s="3" t="n">
        <v>970</v>
      </c>
      <c r="J4" s="3" t="n">
        <f aca="false">I4*'Budget Summary'!$B$2</f>
        <v>8730</v>
      </c>
    </row>
    <row r="5" customFormat="false" ht="27.75" hidden="false" customHeight="true" outlineLevel="0" collapsed="false">
      <c r="A5" s="2" t="s">
        <v>14</v>
      </c>
      <c r="B5" s="2" t="s">
        <v>11</v>
      </c>
      <c r="C5" s="2" t="s">
        <v>21</v>
      </c>
      <c r="D5" s="2" t="s">
        <v>22</v>
      </c>
      <c r="E5" s="2"/>
      <c r="F5" s="2"/>
      <c r="G5" s="2" t="s">
        <v>23</v>
      </c>
      <c r="H5" s="2"/>
      <c r="I5" s="3"/>
      <c r="J5" s="3"/>
    </row>
    <row r="6" customFormat="false" ht="27.75" hidden="false" customHeight="true" outlineLevel="0" collapsed="false">
      <c r="A6" s="4" t="s">
        <v>14</v>
      </c>
      <c r="B6" s="4" t="s">
        <v>11</v>
      </c>
      <c r="C6" s="4" t="s">
        <v>24</v>
      </c>
      <c r="D6" s="4" t="s">
        <v>25</v>
      </c>
      <c r="E6" s="4" t="s">
        <v>26</v>
      </c>
      <c r="F6" s="4"/>
      <c r="G6" s="4"/>
      <c r="H6" s="4"/>
      <c r="I6" s="5"/>
      <c r="J6" s="5"/>
    </row>
    <row r="7" customFormat="false" ht="27.75" hidden="false" customHeight="true" outlineLevel="0" collapsed="false">
      <c r="A7" s="2" t="s">
        <v>14</v>
      </c>
      <c r="B7" s="2" t="s">
        <v>11</v>
      </c>
      <c r="C7" s="2" t="s">
        <v>27</v>
      </c>
      <c r="D7" s="2" t="s">
        <v>28</v>
      </c>
      <c r="E7" s="2"/>
      <c r="F7" s="2" t="s">
        <v>29</v>
      </c>
      <c r="G7" s="2"/>
      <c r="H7" s="2" t="s">
        <v>30</v>
      </c>
      <c r="I7" s="3" t="n">
        <v>1500</v>
      </c>
      <c r="J7" s="3" t="n">
        <f aca="false">I7*'Budget Summary'!$B$2</f>
        <v>13500</v>
      </c>
    </row>
    <row r="8" customFormat="false" ht="27.75" hidden="false" customHeight="true" outlineLevel="0" collapsed="false">
      <c r="A8" s="2" t="s">
        <v>14</v>
      </c>
      <c r="B8" s="2" t="s">
        <v>11</v>
      </c>
      <c r="C8" s="2" t="s">
        <v>31</v>
      </c>
      <c r="D8" s="2" t="s">
        <v>32</v>
      </c>
      <c r="E8" s="2"/>
      <c r="F8" s="2"/>
      <c r="G8" s="2"/>
      <c r="H8" s="2"/>
      <c r="I8" s="3"/>
      <c r="J8" s="3"/>
    </row>
    <row r="9" customFormat="false" ht="27.75" hidden="false" customHeight="true" outlineLevel="0" collapsed="false">
      <c r="A9" s="4" t="s">
        <v>14</v>
      </c>
      <c r="B9" s="4" t="s">
        <v>11</v>
      </c>
      <c r="C9" s="4" t="s">
        <v>33</v>
      </c>
      <c r="D9" s="4" t="s">
        <v>34</v>
      </c>
      <c r="E9" s="4" t="s">
        <v>35</v>
      </c>
      <c r="F9" s="4"/>
      <c r="G9" s="4"/>
      <c r="H9" s="4"/>
      <c r="I9" s="5"/>
      <c r="J9" s="5"/>
    </row>
    <row r="10" customFormat="false" ht="27.75" hidden="false" customHeight="true" outlineLevel="0" collapsed="false">
      <c r="A10" s="2" t="s">
        <v>14</v>
      </c>
      <c r="B10" s="2" t="s">
        <v>11</v>
      </c>
      <c r="C10" s="2" t="s">
        <v>36</v>
      </c>
      <c r="D10" s="2" t="s">
        <v>37</v>
      </c>
      <c r="E10" s="2"/>
      <c r="F10" s="2"/>
      <c r="G10" s="2"/>
      <c r="H10" s="2"/>
      <c r="I10" s="3"/>
      <c r="J10" s="3"/>
    </row>
    <row r="11" customFormat="false" ht="27.75" hidden="false" customHeight="true" outlineLevel="0" collapsed="false">
      <c r="A11" s="4" t="s">
        <v>14</v>
      </c>
      <c r="B11" s="4" t="s">
        <v>11</v>
      </c>
      <c r="C11" s="4" t="s">
        <v>38</v>
      </c>
      <c r="D11" s="4" t="s">
        <v>39</v>
      </c>
      <c r="E11" s="4" t="s">
        <v>40</v>
      </c>
      <c r="F11" s="4"/>
      <c r="G11" s="4"/>
      <c r="H11" s="4"/>
      <c r="I11" s="5"/>
      <c r="J11" s="5"/>
    </row>
    <row r="12" customFormat="false" ht="27.75" hidden="false" customHeight="true" outlineLevel="0" collapsed="false">
      <c r="A12" s="2" t="s">
        <v>14</v>
      </c>
      <c r="B12" s="2" t="s">
        <v>11</v>
      </c>
      <c r="C12" s="2" t="s">
        <v>41</v>
      </c>
      <c r="D12" s="2" t="s">
        <v>42</v>
      </c>
      <c r="E12" s="2"/>
      <c r="F12" s="2" t="s">
        <v>29</v>
      </c>
      <c r="G12" s="2"/>
      <c r="H12" s="2" t="s">
        <v>30</v>
      </c>
      <c r="I12" s="3" t="n">
        <v>1800</v>
      </c>
      <c r="J12" s="3" t="n">
        <f aca="false">I12*'Budget Summary'!$B$2</f>
        <v>16200</v>
      </c>
    </row>
    <row r="13" customFormat="false" ht="27.75" hidden="false" customHeight="true" outlineLevel="0" collapsed="false">
      <c r="A13" s="4" t="s">
        <v>14</v>
      </c>
      <c r="B13" s="4" t="s">
        <v>11</v>
      </c>
      <c r="C13" s="4" t="s">
        <v>43</v>
      </c>
      <c r="D13" s="4" t="s">
        <v>44</v>
      </c>
      <c r="E13" s="4" t="s">
        <v>45</v>
      </c>
      <c r="F13" s="4"/>
      <c r="G13" s="4"/>
      <c r="H13" s="4"/>
      <c r="I13" s="5"/>
      <c r="J13" s="5"/>
    </row>
    <row r="14" customFormat="false" ht="27.75" hidden="false" customHeight="true" outlineLevel="0" collapsed="false">
      <c r="A14" s="2" t="s">
        <v>14</v>
      </c>
      <c r="B14" s="2" t="s">
        <v>11</v>
      </c>
      <c r="C14" s="2" t="s">
        <v>46</v>
      </c>
      <c r="D14" s="2" t="s">
        <v>47</v>
      </c>
      <c r="E14" s="2"/>
      <c r="F14" s="2"/>
      <c r="G14" s="2"/>
      <c r="H14" s="2"/>
      <c r="I14" s="3"/>
      <c r="J14" s="3"/>
    </row>
    <row r="15" customFormat="false" ht="27.75" hidden="false" customHeight="true" outlineLevel="0" collapsed="false">
      <c r="A15" s="2" t="s">
        <v>14</v>
      </c>
      <c r="B15" s="2" t="s">
        <v>11</v>
      </c>
      <c r="C15" s="2" t="s">
        <v>48</v>
      </c>
      <c r="D15" s="2" t="s">
        <v>49</v>
      </c>
      <c r="E15" s="2"/>
      <c r="F15" s="2"/>
      <c r="G15" s="2"/>
      <c r="H15" s="2"/>
      <c r="I15" s="3"/>
      <c r="J15" s="3"/>
    </row>
    <row r="16" customFormat="false" ht="27.75" hidden="false" customHeight="true" outlineLevel="0" collapsed="false">
      <c r="A16" s="4" t="s">
        <v>50</v>
      </c>
      <c r="B16" s="4" t="s">
        <v>51</v>
      </c>
      <c r="C16" s="4" t="s">
        <v>52</v>
      </c>
      <c r="D16" s="4" t="s">
        <v>53</v>
      </c>
      <c r="E16" s="4" t="s">
        <v>54</v>
      </c>
      <c r="F16" s="4"/>
      <c r="G16" s="4"/>
      <c r="H16" s="4"/>
      <c r="I16" s="5"/>
      <c r="J16" s="5"/>
    </row>
    <row r="17" customFormat="false" ht="27.75" hidden="false" customHeight="true" outlineLevel="0" collapsed="false">
      <c r="A17" s="6" t="s">
        <v>55</v>
      </c>
      <c r="B17" s="6" t="s">
        <v>51</v>
      </c>
      <c r="C17" s="6" t="s">
        <v>56</v>
      </c>
      <c r="D17" s="6" t="s">
        <v>57</v>
      </c>
      <c r="E17" s="6"/>
      <c r="F17" s="6" t="s">
        <v>58</v>
      </c>
      <c r="G17" s="6" t="s">
        <v>59</v>
      </c>
      <c r="H17" s="6" t="s">
        <v>60</v>
      </c>
      <c r="I17" s="7" t="n">
        <v>500</v>
      </c>
      <c r="J17" s="7" t="n">
        <f aca="false">I17*'Budget Summary'!$B$2</f>
        <v>4500</v>
      </c>
    </row>
    <row r="18" customFormat="false" ht="27.75" hidden="false" customHeight="true" outlineLevel="0" collapsed="false">
      <c r="A18" s="2" t="s">
        <v>55</v>
      </c>
      <c r="B18" s="2" t="s">
        <v>51</v>
      </c>
      <c r="C18" s="2" t="s">
        <v>61</v>
      </c>
      <c r="D18" s="2" t="s">
        <v>62</v>
      </c>
      <c r="E18" s="2"/>
      <c r="F18" s="2"/>
      <c r="G18" s="2" t="s">
        <v>63</v>
      </c>
      <c r="H18" s="2" t="s">
        <v>64</v>
      </c>
      <c r="I18" s="3" t="n">
        <v>3500</v>
      </c>
      <c r="J18" s="3" t="n">
        <f aca="false">I18*'Budget Summary'!$B$2</f>
        <v>31500</v>
      </c>
    </row>
    <row r="19" customFormat="false" ht="27.75" hidden="false" customHeight="true" outlineLevel="0" collapsed="false">
      <c r="A19" s="2" t="s">
        <v>55</v>
      </c>
      <c r="B19" s="2" t="s">
        <v>51</v>
      </c>
      <c r="C19" s="2" t="s">
        <v>65</v>
      </c>
      <c r="D19" s="2" t="s">
        <v>66</v>
      </c>
      <c r="E19" s="2"/>
      <c r="F19" s="2"/>
      <c r="G19" s="2"/>
      <c r="H19" s="2"/>
      <c r="I19" s="3"/>
      <c r="J19" s="3"/>
    </row>
    <row r="20" customFormat="false" ht="27.75" hidden="false" customHeight="true" outlineLevel="0" collapsed="false">
      <c r="A20" s="4" t="s">
        <v>55</v>
      </c>
      <c r="B20" s="4" t="s">
        <v>51</v>
      </c>
      <c r="C20" s="4" t="s">
        <v>24</v>
      </c>
      <c r="D20" s="4" t="s">
        <v>67</v>
      </c>
      <c r="E20" s="4" t="s">
        <v>26</v>
      </c>
      <c r="F20" s="4"/>
      <c r="G20" s="4"/>
      <c r="H20" s="4"/>
      <c r="I20" s="5"/>
      <c r="J20" s="5"/>
    </row>
    <row r="21" customFormat="false" ht="27.75" hidden="false" customHeight="true" outlineLevel="0" collapsed="false">
      <c r="A21" s="2" t="s">
        <v>55</v>
      </c>
      <c r="B21" s="2" t="s">
        <v>51</v>
      </c>
      <c r="C21" s="2" t="s">
        <v>27</v>
      </c>
      <c r="D21" s="2" t="s">
        <v>68</v>
      </c>
      <c r="E21" s="2"/>
      <c r="F21" s="2" t="s">
        <v>29</v>
      </c>
      <c r="G21" s="2"/>
      <c r="H21" s="2" t="s">
        <v>30</v>
      </c>
      <c r="I21" s="3" t="n">
        <v>1500</v>
      </c>
      <c r="J21" s="3" t="n">
        <f aca="false">I21*'Budget Summary'!$B$2</f>
        <v>13500</v>
      </c>
    </row>
    <row r="22" customFormat="false" ht="27.75" hidden="false" customHeight="true" outlineLevel="0" collapsed="false">
      <c r="A22" s="8" t="s">
        <v>55</v>
      </c>
      <c r="B22" s="8" t="s">
        <v>51</v>
      </c>
      <c r="C22" s="8" t="s">
        <v>31</v>
      </c>
      <c r="D22" s="8" t="s">
        <v>69</v>
      </c>
      <c r="E22" s="8"/>
      <c r="F22" s="8"/>
      <c r="G22" s="8" t="s">
        <v>70</v>
      </c>
      <c r="H22" s="8"/>
      <c r="I22" s="9"/>
      <c r="J22" s="9"/>
    </row>
    <row r="23" customFormat="false" ht="27.75" hidden="false" customHeight="true" outlineLevel="0" collapsed="false">
      <c r="A23" s="4" t="s">
        <v>55</v>
      </c>
      <c r="B23" s="4" t="s">
        <v>51</v>
      </c>
      <c r="C23" s="4" t="s">
        <v>33</v>
      </c>
      <c r="D23" s="4" t="s">
        <v>34</v>
      </c>
      <c r="E23" s="4" t="s">
        <v>35</v>
      </c>
      <c r="F23" s="4"/>
      <c r="G23" s="4"/>
      <c r="H23" s="4"/>
      <c r="I23" s="5"/>
      <c r="J23" s="5"/>
    </row>
    <row r="24" customFormat="false" ht="27.75" hidden="false" customHeight="true" outlineLevel="0" collapsed="false">
      <c r="A24" s="2" t="s">
        <v>55</v>
      </c>
      <c r="B24" s="2" t="s">
        <v>51</v>
      </c>
      <c r="C24" s="2" t="s">
        <v>71</v>
      </c>
      <c r="D24" s="2" t="s">
        <v>72</v>
      </c>
      <c r="E24" s="2"/>
      <c r="F24" s="2"/>
      <c r="G24" s="2" t="s">
        <v>73</v>
      </c>
      <c r="H24" s="2"/>
      <c r="I24" s="3"/>
      <c r="J24" s="3"/>
    </row>
    <row r="25" customFormat="false" ht="27.75" hidden="false" customHeight="true" outlineLevel="0" collapsed="false">
      <c r="A25" s="4" t="s">
        <v>55</v>
      </c>
      <c r="B25" s="4" t="s">
        <v>51</v>
      </c>
      <c r="C25" s="4" t="s">
        <v>38</v>
      </c>
      <c r="D25" s="4" t="s">
        <v>39</v>
      </c>
      <c r="E25" s="4" t="s">
        <v>40</v>
      </c>
      <c r="F25" s="4"/>
      <c r="G25" s="4"/>
      <c r="H25" s="4"/>
      <c r="I25" s="5"/>
      <c r="J25" s="5"/>
    </row>
    <row r="26" customFormat="false" ht="27.75" hidden="false" customHeight="true" outlineLevel="0" collapsed="false">
      <c r="A26" s="2" t="s">
        <v>55</v>
      </c>
      <c r="B26" s="2" t="s">
        <v>51</v>
      </c>
      <c r="C26" s="2" t="s">
        <v>41</v>
      </c>
      <c r="D26" s="2" t="s">
        <v>74</v>
      </c>
      <c r="E26" s="2"/>
      <c r="F26" s="2" t="s">
        <v>29</v>
      </c>
      <c r="G26" s="2"/>
      <c r="H26" s="2" t="s">
        <v>30</v>
      </c>
      <c r="I26" s="3" t="n">
        <v>1800</v>
      </c>
      <c r="J26" s="3" t="n">
        <f aca="false">I26*'Budget Summary'!$B$2</f>
        <v>16200</v>
      </c>
    </row>
    <row r="27" customFormat="false" ht="27.75" hidden="false" customHeight="true" outlineLevel="0" collapsed="false">
      <c r="A27" s="4" t="s">
        <v>55</v>
      </c>
      <c r="B27" s="4" t="s">
        <v>51</v>
      </c>
      <c r="C27" s="4" t="s">
        <v>43</v>
      </c>
      <c r="D27" s="4" t="s">
        <v>44</v>
      </c>
      <c r="E27" s="4" t="s">
        <v>45</v>
      </c>
      <c r="F27" s="4"/>
      <c r="G27" s="4"/>
      <c r="H27" s="4"/>
      <c r="I27" s="5"/>
      <c r="J27" s="5"/>
    </row>
    <row r="28" customFormat="false" ht="27.75" hidden="false" customHeight="true" outlineLevel="0" collapsed="false">
      <c r="A28" s="2" t="s">
        <v>55</v>
      </c>
      <c r="B28" s="2" t="s">
        <v>51</v>
      </c>
      <c r="C28" s="2" t="s">
        <v>46</v>
      </c>
      <c r="D28" s="2" t="s">
        <v>75</v>
      </c>
      <c r="E28" s="2"/>
      <c r="F28" s="2"/>
      <c r="G28" s="2"/>
      <c r="H28" s="2"/>
      <c r="I28" s="3"/>
      <c r="J28" s="3"/>
    </row>
    <row r="29" customFormat="false" ht="27.75" hidden="false" customHeight="true" outlineLevel="0" collapsed="false">
      <c r="A29" s="2" t="s">
        <v>55</v>
      </c>
      <c r="B29" s="2" t="s">
        <v>51</v>
      </c>
      <c r="C29" s="2" t="s">
        <v>76</v>
      </c>
      <c r="D29" s="2" t="s">
        <v>77</v>
      </c>
      <c r="E29" s="2"/>
      <c r="F29" s="2"/>
      <c r="G29" s="2" t="s">
        <v>78</v>
      </c>
      <c r="H29" s="2" t="s">
        <v>20</v>
      </c>
      <c r="I29" s="3" t="n">
        <v>3000</v>
      </c>
      <c r="J29" s="3" t="n">
        <f aca="false">I29*'Budget Summary'!$B$2</f>
        <v>27000</v>
      </c>
    </row>
    <row r="30" customFormat="false" ht="27.75" hidden="false" customHeight="true" outlineLevel="0" collapsed="false">
      <c r="A30" s="4" t="s">
        <v>79</v>
      </c>
      <c r="B30" s="4" t="s">
        <v>80</v>
      </c>
      <c r="C30" s="4" t="s">
        <v>81</v>
      </c>
      <c r="D30" s="4" t="s">
        <v>82</v>
      </c>
      <c r="E30" s="4" t="s">
        <v>83</v>
      </c>
      <c r="F30" s="4"/>
      <c r="G30" s="4"/>
      <c r="H30" s="4"/>
      <c r="I30" s="5"/>
      <c r="J30" s="5"/>
    </row>
    <row r="31" customFormat="false" ht="27.75" hidden="false" customHeight="true" outlineLevel="0" collapsed="false">
      <c r="A31" s="2" t="s">
        <v>84</v>
      </c>
      <c r="B31" s="2" t="s">
        <v>80</v>
      </c>
      <c r="C31" s="2" t="s">
        <v>85</v>
      </c>
      <c r="D31" s="2" t="s">
        <v>86</v>
      </c>
      <c r="E31" s="2"/>
      <c r="F31" s="2"/>
      <c r="G31" s="2" t="s">
        <v>87</v>
      </c>
      <c r="H31" s="2"/>
      <c r="I31" s="3"/>
      <c r="J31" s="3"/>
    </row>
    <row r="32" customFormat="false" ht="27.75" hidden="false" customHeight="true" outlineLevel="0" collapsed="false">
      <c r="A32" s="2" t="s">
        <v>84</v>
      </c>
      <c r="B32" s="2" t="s">
        <v>80</v>
      </c>
      <c r="C32" s="2" t="s">
        <v>61</v>
      </c>
      <c r="D32" s="2" t="s">
        <v>88</v>
      </c>
      <c r="E32" s="2"/>
      <c r="F32" s="2" t="s">
        <v>29</v>
      </c>
      <c r="G32" s="2"/>
      <c r="H32" s="2" t="s">
        <v>30</v>
      </c>
      <c r="I32" s="3" t="n">
        <v>600</v>
      </c>
      <c r="J32" s="3" t="n">
        <f aca="false">I32*'Budget Summary'!$B$2</f>
        <v>5400</v>
      </c>
    </row>
    <row r="33" customFormat="false" ht="27.75" hidden="false" customHeight="true" outlineLevel="0" collapsed="false">
      <c r="A33" s="2" t="s">
        <v>84</v>
      </c>
      <c r="B33" s="2" t="s">
        <v>80</v>
      </c>
      <c r="C33" s="2" t="s">
        <v>89</v>
      </c>
      <c r="D33" s="2" t="s">
        <v>90</v>
      </c>
      <c r="E33" s="2"/>
      <c r="F33" s="2"/>
      <c r="G33" s="2" t="s">
        <v>91</v>
      </c>
      <c r="H33" s="2" t="s">
        <v>20</v>
      </c>
      <c r="I33" s="3" t="n">
        <v>800</v>
      </c>
      <c r="J33" s="3" t="n">
        <f aca="false">I33*'Budget Summary'!$B$2</f>
        <v>7200</v>
      </c>
    </row>
    <row r="34" customFormat="false" ht="27.75" hidden="false" customHeight="true" outlineLevel="0" collapsed="false">
      <c r="A34" s="2" t="s">
        <v>84</v>
      </c>
      <c r="B34" s="2" t="s">
        <v>80</v>
      </c>
      <c r="C34" s="2" t="s">
        <v>65</v>
      </c>
      <c r="D34" s="2" t="s">
        <v>92</v>
      </c>
      <c r="E34" s="2"/>
      <c r="F34" s="2"/>
      <c r="G34" s="2"/>
      <c r="H34" s="2"/>
      <c r="I34" s="3"/>
      <c r="J34" s="3"/>
    </row>
    <row r="35" customFormat="false" ht="27.75" hidden="false" customHeight="true" outlineLevel="0" collapsed="false">
      <c r="A35" s="4" t="s">
        <v>84</v>
      </c>
      <c r="B35" s="4" t="s">
        <v>80</v>
      </c>
      <c r="C35" s="4" t="s">
        <v>93</v>
      </c>
      <c r="D35" s="4" t="s">
        <v>94</v>
      </c>
      <c r="E35" s="4" t="s">
        <v>95</v>
      </c>
      <c r="F35" s="4"/>
      <c r="G35" s="4"/>
      <c r="H35" s="4"/>
      <c r="I35" s="5"/>
      <c r="J35" s="5"/>
    </row>
    <row r="36" customFormat="false" ht="27.75" hidden="false" customHeight="true" outlineLevel="0" collapsed="false">
      <c r="A36" s="2" t="s">
        <v>84</v>
      </c>
      <c r="B36" s="2" t="s">
        <v>80</v>
      </c>
      <c r="C36" s="2" t="s">
        <v>96</v>
      </c>
      <c r="D36" s="2" t="s">
        <v>97</v>
      </c>
      <c r="E36" s="2"/>
      <c r="F36" s="2" t="s">
        <v>29</v>
      </c>
      <c r="G36" s="2"/>
      <c r="H36" s="2" t="s">
        <v>30</v>
      </c>
      <c r="I36" s="3" t="n">
        <v>1800</v>
      </c>
      <c r="J36" s="3" t="n">
        <f aca="false">I36*'Budget Summary'!$B$2</f>
        <v>16200</v>
      </c>
    </row>
    <row r="37" customFormat="false" ht="27.75" hidden="false" customHeight="true" outlineLevel="0" collapsed="false">
      <c r="A37" s="4" t="s">
        <v>84</v>
      </c>
      <c r="B37" s="4" t="s">
        <v>80</v>
      </c>
      <c r="C37" s="4" t="s">
        <v>98</v>
      </c>
      <c r="D37" s="4" t="s">
        <v>34</v>
      </c>
      <c r="E37" s="4" t="s">
        <v>99</v>
      </c>
      <c r="F37" s="4"/>
      <c r="G37" s="4"/>
      <c r="H37" s="4"/>
      <c r="I37" s="5"/>
      <c r="J37" s="5"/>
    </row>
    <row r="38" customFormat="false" ht="27.75" hidden="false" customHeight="true" outlineLevel="0" collapsed="false">
      <c r="A38" s="2" t="s">
        <v>84</v>
      </c>
      <c r="B38" s="2" t="s">
        <v>80</v>
      </c>
      <c r="C38" s="2" t="s">
        <v>100</v>
      </c>
      <c r="D38" s="2" t="s">
        <v>101</v>
      </c>
      <c r="E38" s="2"/>
      <c r="F38" s="2"/>
      <c r="G38" s="2"/>
      <c r="H38" s="2"/>
      <c r="I38" s="3"/>
      <c r="J38" s="3"/>
    </row>
    <row r="39" customFormat="false" ht="27.75" hidden="false" customHeight="true" outlineLevel="0" collapsed="false">
      <c r="A39" s="4" t="s">
        <v>84</v>
      </c>
      <c r="B39" s="4" t="s">
        <v>80</v>
      </c>
      <c r="C39" s="4" t="s">
        <v>102</v>
      </c>
      <c r="D39" s="4" t="s">
        <v>39</v>
      </c>
      <c r="E39" s="4" t="s">
        <v>103</v>
      </c>
      <c r="F39" s="4"/>
      <c r="G39" s="4"/>
      <c r="H39" s="4"/>
      <c r="I39" s="5"/>
      <c r="J39" s="5"/>
    </row>
    <row r="40" customFormat="false" ht="27.75" hidden="false" customHeight="true" outlineLevel="0" collapsed="false">
      <c r="A40" s="2" t="s">
        <v>84</v>
      </c>
      <c r="B40" s="2" t="s">
        <v>80</v>
      </c>
      <c r="C40" s="2" t="s">
        <v>104</v>
      </c>
      <c r="D40" s="2" t="s">
        <v>105</v>
      </c>
      <c r="E40" s="2"/>
      <c r="F40" s="2" t="s">
        <v>29</v>
      </c>
      <c r="G40" s="2"/>
      <c r="H40" s="2" t="s">
        <v>30</v>
      </c>
      <c r="I40" s="3" t="n">
        <v>2000</v>
      </c>
      <c r="J40" s="3" t="n">
        <f aca="false">I40*'Budget Summary'!$B$2</f>
        <v>18000</v>
      </c>
    </row>
    <row r="41" customFormat="false" ht="27.75" hidden="false" customHeight="true" outlineLevel="0" collapsed="false">
      <c r="A41" s="4" t="s">
        <v>84</v>
      </c>
      <c r="B41" s="4" t="s">
        <v>80</v>
      </c>
      <c r="C41" s="4" t="s">
        <v>106</v>
      </c>
      <c r="D41" s="4" t="s">
        <v>44</v>
      </c>
      <c r="E41" s="4" t="s">
        <v>107</v>
      </c>
      <c r="F41" s="4"/>
      <c r="G41" s="4"/>
      <c r="H41" s="4"/>
      <c r="I41" s="5"/>
      <c r="J41" s="5"/>
    </row>
    <row r="42" customFormat="false" ht="27.75" hidden="false" customHeight="true" outlineLevel="0" collapsed="false">
      <c r="A42" s="2" t="s">
        <v>84</v>
      </c>
      <c r="B42" s="2" t="s">
        <v>80</v>
      </c>
      <c r="C42" s="2" t="s">
        <v>46</v>
      </c>
      <c r="D42" s="2" t="s">
        <v>108</v>
      </c>
      <c r="E42" s="2"/>
      <c r="F42" s="2"/>
      <c r="G42" s="2" t="s">
        <v>109</v>
      </c>
      <c r="H42" s="2" t="s">
        <v>110</v>
      </c>
      <c r="I42" s="3" t="n">
        <v>2500</v>
      </c>
      <c r="J42" s="3" t="n">
        <f aca="false">I42*'Budget Summary'!$B$2</f>
        <v>22500</v>
      </c>
    </row>
    <row r="43" customFormat="false" ht="27.75" hidden="false" customHeight="true" outlineLevel="0" collapsed="false">
      <c r="A43" s="4" t="s">
        <v>111</v>
      </c>
      <c r="B43" s="4" t="s">
        <v>112</v>
      </c>
      <c r="C43" s="4" t="s">
        <v>113</v>
      </c>
      <c r="D43" s="4" t="s">
        <v>114</v>
      </c>
      <c r="E43" s="4" t="s">
        <v>115</v>
      </c>
      <c r="F43" s="4"/>
      <c r="G43" s="4"/>
      <c r="H43" s="4"/>
      <c r="I43" s="5"/>
      <c r="J43" s="5"/>
    </row>
    <row r="44" customFormat="false" ht="27.75" hidden="false" customHeight="true" outlineLevel="0" collapsed="false">
      <c r="A44" s="2" t="s">
        <v>116</v>
      </c>
      <c r="B44" s="2" t="s">
        <v>112</v>
      </c>
      <c r="C44" s="2" t="s">
        <v>117</v>
      </c>
      <c r="D44" s="2" t="s">
        <v>118</v>
      </c>
      <c r="E44" s="2"/>
      <c r="F44" s="2" t="s">
        <v>29</v>
      </c>
      <c r="G44" s="2"/>
      <c r="H44" s="2" t="s">
        <v>30</v>
      </c>
      <c r="I44" s="3" t="n">
        <v>600</v>
      </c>
      <c r="J44" s="3" t="n">
        <f aca="false">I44*'Budget Summary'!$B$2</f>
        <v>5400</v>
      </c>
    </row>
    <row r="45" customFormat="false" ht="27.75" hidden="false" customHeight="true" outlineLevel="0" collapsed="false">
      <c r="A45" s="2" t="s">
        <v>116</v>
      </c>
      <c r="B45" s="2" t="s">
        <v>112</v>
      </c>
      <c r="C45" s="2" t="s">
        <v>61</v>
      </c>
      <c r="D45" s="2" t="s">
        <v>119</v>
      </c>
      <c r="E45" s="2"/>
      <c r="F45" s="2"/>
      <c r="G45" s="2"/>
      <c r="H45" s="2" t="s">
        <v>20</v>
      </c>
      <c r="I45" s="3" t="n">
        <v>800</v>
      </c>
      <c r="J45" s="3" t="n">
        <f aca="false">I45*'Budget Summary'!$B$2</f>
        <v>7200</v>
      </c>
    </row>
    <row r="46" customFormat="false" ht="27.75" hidden="false" customHeight="true" outlineLevel="0" collapsed="false">
      <c r="A46" s="2" t="s">
        <v>116</v>
      </c>
      <c r="B46" s="2" t="s">
        <v>112</v>
      </c>
      <c r="C46" s="2" t="s">
        <v>89</v>
      </c>
      <c r="D46" s="2" t="s">
        <v>120</v>
      </c>
      <c r="E46" s="2"/>
      <c r="F46" s="2"/>
      <c r="G46" s="2"/>
      <c r="H46" s="2"/>
      <c r="I46" s="3"/>
      <c r="J46" s="3"/>
    </row>
    <row r="47" customFormat="false" ht="27.75" hidden="false" customHeight="true" outlineLevel="0" collapsed="false">
      <c r="A47" s="4" t="s">
        <v>116</v>
      </c>
      <c r="B47" s="4" t="s">
        <v>112</v>
      </c>
      <c r="C47" s="4" t="s">
        <v>93</v>
      </c>
      <c r="D47" s="4" t="s">
        <v>121</v>
      </c>
      <c r="E47" s="4" t="s">
        <v>95</v>
      </c>
      <c r="F47" s="4"/>
      <c r="G47" s="4"/>
      <c r="H47" s="4"/>
      <c r="I47" s="5"/>
      <c r="J47" s="5"/>
    </row>
    <row r="48" customFormat="false" ht="27.75" hidden="false" customHeight="true" outlineLevel="0" collapsed="false">
      <c r="A48" s="2" t="s">
        <v>116</v>
      </c>
      <c r="B48" s="2" t="s">
        <v>112</v>
      </c>
      <c r="C48" s="2" t="s">
        <v>96</v>
      </c>
      <c r="D48" s="2" t="s">
        <v>122</v>
      </c>
      <c r="E48" s="2"/>
      <c r="F48" s="2" t="s">
        <v>29</v>
      </c>
      <c r="G48" s="2"/>
      <c r="H48" s="2" t="s">
        <v>30</v>
      </c>
      <c r="I48" s="3" t="n">
        <v>1800</v>
      </c>
      <c r="J48" s="3" t="n">
        <f aca="false">I48*'Budget Summary'!$B$2</f>
        <v>16200</v>
      </c>
    </row>
    <row r="49" customFormat="false" ht="27.75" hidden="false" customHeight="true" outlineLevel="0" collapsed="false">
      <c r="A49" s="4" t="s">
        <v>116</v>
      </c>
      <c r="B49" s="4" t="s">
        <v>112</v>
      </c>
      <c r="C49" s="4" t="s">
        <v>98</v>
      </c>
      <c r="D49" s="4" t="s">
        <v>34</v>
      </c>
      <c r="E49" s="4" t="s">
        <v>99</v>
      </c>
      <c r="F49" s="4"/>
      <c r="G49" s="4"/>
      <c r="H49" s="4"/>
      <c r="I49" s="5"/>
      <c r="J49" s="5"/>
    </row>
    <row r="50" customFormat="false" ht="27.75" hidden="false" customHeight="true" outlineLevel="0" collapsed="false">
      <c r="A50" s="2" t="s">
        <v>116</v>
      </c>
      <c r="B50" s="2" t="s">
        <v>112</v>
      </c>
      <c r="C50" s="2" t="s">
        <v>100</v>
      </c>
      <c r="D50" s="2" t="s">
        <v>123</v>
      </c>
      <c r="E50" s="2"/>
      <c r="F50" s="2"/>
      <c r="G50" s="2" t="s">
        <v>124</v>
      </c>
      <c r="H50" s="2" t="s">
        <v>125</v>
      </c>
      <c r="I50" s="3" t="n">
        <v>2000</v>
      </c>
      <c r="J50" s="3" t="n">
        <f aca="false">I50*'Budget Summary'!$B$2</f>
        <v>18000</v>
      </c>
    </row>
    <row r="51" customFormat="false" ht="27.75" hidden="false" customHeight="true" outlineLevel="0" collapsed="false">
      <c r="A51" s="4" t="s">
        <v>116</v>
      </c>
      <c r="B51" s="4" t="s">
        <v>112</v>
      </c>
      <c r="C51" s="4" t="s">
        <v>102</v>
      </c>
      <c r="D51" s="4" t="s">
        <v>39</v>
      </c>
      <c r="E51" s="4" t="s">
        <v>103</v>
      </c>
      <c r="F51" s="4"/>
      <c r="G51" s="4"/>
      <c r="H51" s="4"/>
      <c r="I51" s="5"/>
      <c r="J51" s="5"/>
    </row>
    <row r="52" customFormat="false" ht="27.75" hidden="false" customHeight="true" outlineLevel="0" collapsed="false">
      <c r="A52" s="2" t="s">
        <v>116</v>
      </c>
      <c r="B52" s="2" t="s">
        <v>112</v>
      </c>
      <c r="C52" s="2" t="s">
        <v>104</v>
      </c>
      <c r="D52" s="2" t="s">
        <v>126</v>
      </c>
      <c r="E52" s="2"/>
      <c r="F52" s="2" t="s">
        <v>29</v>
      </c>
      <c r="G52" s="2"/>
      <c r="H52" s="2" t="s">
        <v>30</v>
      </c>
      <c r="I52" s="3" t="n">
        <v>2200</v>
      </c>
      <c r="J52" s="3" t="n">
        <f aca="false">I52*'Budget Summary'!$B$2</f>
        <v>19800</v>
      </c>
    </row>
    <row r="53" customFormat="false" ht="27.75" hidden="false" customHeight="true" outlineLevel="0" collapsed="false">
      <c r="A53" s="4" t="s">
        <v>116</v>
      </c>
      <c r="B53" s="4" t="s">
        <v>112</v>
      </c>
      <c r="C53" s="4" t="s">
        <v>106</v>
      </c>
      <c r="D53" s="4" t="s">
        <v>44</v>
      </c>
      <c r="E53" s="4" t="s">
        <v>107</v>
      </c>
      <c r="F53" s="4"/>
      <c r="G53" s="4"/>
      <c r="H53" s="4"/>
      <c r="I53" s="5"/>
      <c r="J53" s="5"/>
    </row>
    <row r="54" customFormat="false" ht="27.75" hidden="false" customHeight="true" outlineLevel="0" collapsed="false">
      <c r="A54" s="2" t="s">
        <v>116</v>
      </c>
      <c r="B54" s="2" t="s">
        <v>112</v>
      </c>
      <c r="C54" s="2" t="s">
        <v>46</v>
      </c>
      <c r="D54" s="2" t="s">
        <v>127</v>
      </c>
      <c r="E54" s="2"/>
      <c r="F54" s="2" t="s">
        <v>128</v>
      </c>
      <c r="G54" s="2"/>
      <c r="H54" s="2" t="s">
        <v>129</v>
      </c>
      <c r="I54" s="3" t="n">
        <v>1000</v>
      </c>
      <c r="J54" s="3" t="n">
        <f aca="false">I54*'Budget Summary'!$B$2</f>
        <v>9000</v>
      </c>
    </row>
    <row r="55" customFormat="false" ht="27.75" hidden="false" customHeight="true" outlineLevel="0" collapsed="false">
      <c r="A55" s="2" t="s">
        <v>116</v>
      </c>
      <c r="B55" s="2" t="s">
        <v>112</v>
      </c>
      <c r="C55" s="2" t="s">
        <v>130</v>
      </c>
      <c r="D55" s="2" t="s">
        <v>131</v>
      </c>
      <c r="E55" s="2"/>
      <c r="F55" s="2"/>
      <c r="G55" s="2"/>
      <c r="H55" s="2" t="s">
        <v>110</v>
      </c>
      <c r="I55" s="3" t="n">
        <v>2500</v>
      </c>
      <c r="J55" s="3" t="n">
        <f aca="false">I55*'Budget Summary'!$B$2</f>
        <v>22500</v>
      </c>
    </row>
    <row r="56" customFormat="false" ht="27.75" hidden="false" customHeight="true" outlineLevel="0" collapsed="false">
      <c r="A56" s="4" t="s">
        <v>132</v>
      </c>
      <c r="B56" s="4" t="s">
        <v>133</v>
      </c>
      <c r="C56" s="4" t="s">
        <v>113</v>
      </c>
      <c r="D56" s="4" t="s">
        <v>53</v>
      </c>
      <c r="E56" s="4" t="s">
        <v>115</v>
      </c>
      <c r="F56" s="4"/>
      <c r="G56" s="4"/>
      <c r="H56" s="4"/>
      <c r="I56" s="5"/>
      <c r="J56" s="5"/>
    </row>
    <row r="57" customFormat="false" ht="27.75" hidden="false" customHeight="true" outlineLevel="0" collapsed="false">
      <c r="A57" s="2" t="s">
        <v>134</v>
      </c>
      <c r="B57" s="2" t="s">
        <v>133</v>
      </c>
      <c r="C57" s="2" t="s">
        <v>56</v>
      </c>
      <c r="D57" s="2" t="s">
        <v>135</v>
      </c>
      <c r="E57" s="2"/>
      <c r="F57" s="2" t="s">
        <v>29</v>
      </c>
      <c r="G57" s="2"/>
      <c r="H57" s="2" t="s">
        <v>30</v>
      </c>
      <c r="I57" s="3" t="n">
        <v>600</v>
      </c>
      <c r="J57" s="3" t="n">
        <f aca="false">I57*'Budget Summary'!$B$2</f>
        <v>5400</v>
      </c>
    </row>
    <row r="58" customFormat="false" ht="27.75" hidden="false" customHeight="true" outlineLevel="0" collapsed="false">
      <c r="A58" s="2" t="s">
        <v>134</v>
      </c>
      <c r="B58" s="2" t="s">
        <v>133</v>
      </c>
      <c r="C58" s="2" t="s">
        <v>61</v>
      </c>
      <c r="D58" s="2" t="s">
        <v>136</v>
      </c>
      <c r="E58" s="2"/>
      <c r="F58" s="2"/>
      <c r="G58" s="2" t="s">
        <v>137</v>
      </c>
      <c r="H58" s="2" t="s">
        <v>20</v>
      </c>
      <c r="I58" s="3" t="n">
        <v>2100</v>
      </c>
      <c r="J58" s="3" t="n">
        <f aca="false">I58*'Budget Summary'!$B$2</f>
        <v>18900</v>
      </c>
    </row>
    <row r="59" customFormat="false" ht="27.75" hidden="false" customHeight="true" outlineLevel="0" collapsed="false">
      <c r="A59" s="2" t="s">
        <v>134</v>
      </c>
      <c r="B59" s="2" t="s">
        <v>133</v>
      </c>
      <c r="C59" s="2" t="s">
        <v>138</v>
      </c>
      <c r="D59" s="2" t="s">
        <v>139</v>
      </c>
      <c r="E59" s="2"/>
      <c r="F59" s="2"/>
      <c r="G59" s="2"/>
      <c r="H59" s="2"/>
      <c r="I59" s="3"/>
      <c r="J59" s="3"/>
    </row>
    <row r="60" customFormat="false" ht="27.75" hidden="false" customHeight="true" outlineLevel="0" collapsed="false">
      <c r="A60" s="4" t="s">
        <v>134</v>
      </c>
      <c r="B60" s="4" t="s">
        <v>133</v>
      </c>
      <c r="C60" s="4" t="s">
        <v>140</v>
      </c>
      <c r="D60" s="4" t="s">
        <v>141</v>
      </c>
      <c r="E60" s="4" t="s">
        <v>142</v>
      </c>
      <c r="F60" s="4"/>
      <c r="G60" s="4"/>
      <c r="H60" s="4"/>
      <c r="I60" s="5"/>
      <c r="J60" s="5"/>
    </row>
    <row r="61" customFormat="false" ht="27.75" hidden="false" customHeight="true" outlineLevel="0" collapsed="false">
      <c r="A61" s="8" t="s">
        <v>134</v>
      </c>
      <c r="B61" s="8" t="s">
        <v>133</v>
      </c>
      <c r="C61" s="8" t="s">
        <v>24</v>
      </c>
      <c r="D61" s="8" t="s">
        <v>143</v>
      </c>
      <c r="E61" s="8"/>
      <c r="F61" s="8" t="s">
        <v>144</v>
      </c>
      <c r="G61" s="8" t="s">
        <v>145</v>
      </c>
      <c r="H61" s="8"/>
      <c r="I61" s="9"/>
      <c r="J61" s="9"/>
    </row>
    <row r="62" customFormat="false" ht="27.75" hidden="false" customHeight="true" outlineLevel="0" collapsed="false">
      <c r="A62" s="4" t="s">
        <v>134</v>
      </c>
      <c r="B62" s="4" t="s">
        <v>133</v>
      </c>
      <c r="C62" s="4" t="s">
        <v>146</v>
      </c>
      <c r="D62" s="4" t="s">
        <v>34</v>
      </c>
      <c r="E62" s="4" t="s">
        <v>147</v>
      </c>
      <c r="F62" s="4"/>
      <c r="G62" s="4"/>
      <c r="H62" s="4"/>
      <c r="I62" s="5"/>
      <c r="J62" s="5"/>
    </row>
    <row r="63" customFormat="false" ht="27.75" hidden="false" customHeight="true" outlineLevel="0" collapsed="false">
      <c r="A63" s="2" t="s">
        <v>134</v>
      </c>
      <c r="B63" s="2" t="s">
        <v>133</v>
      </c>
      <c r="C63" s="2" t="s">
        <v>148</v>
      </c>
      <c r="D63" s="2" t="s">
        <v>149</v>
      </c>
      <c r="E63" s="2"/>
      <c r="F63" s="2"/>
      <c r="G63" s="2"/>
      <c r="H63" s="2"/>
      <c r="I63" s="3"/>
      <c r="J63" s="3"/>
    </row>
    <row r="64" customFormat="false" ht="27.75" hidden="false" customHeight="true" outlineLevel="0" collapsed="false">
      <c r="A64" s="4" t="s">
        <v>134</v>
      </c>
      <c r="B64" s="4" t="s">
        <v>133</v>
      </c>
      <c r="C64" s="4" t="s">
        <v>102</v>
      </c>
      <c r="D64" s="4" t="s">
        <v>150</v>
      </c>
      <c r="E64" s="4" t="s">
        <v>151</v>
      </c>
      <c r="F64" s="4"/>
      <c r="G64" s="4"/>
      <c r="H64" s="4"/>
      <c r="I64" s="5"/>
      <c r="J64" s="5"/>
    </row>
    <row r="65" customFormat="false" ht="27.75" hidden="false" customHeight="true" outlineLevel="0" collapsed="false">
      <c r="A65" s="2" t="s">
        <v>134</v>
      </c>
      <c r="B65" s="2" t="s">
        <v>133</v>
      </c>
      <c r="C65" s="2" t="s">
        <v>41</v>
      </c>
      <c r="D65" s="2" t="s">
        <v>152</v>
      </c>
      <c r="E65" s="2"/>
      <c r="F65" s="2" t="s">
        <v>153</v>
      </c>
      <c r="G65" s="2"/>
      <c r="H65" s="2" t="s">
        <v>30</v>
      </c>
      <c r="I65" s="3" t="n">
        <v>800</v>
      </c>
      <c r="J65" s="3" t="n">
        <f aca="false">I65*'Budget Summary'!$B$2</f>
        <v>7200</v>
      </c>
    </row>
    <row r="66" customFormat="false" ht="27.75" hidden="false" customHeight="true" outlineLevel="0" collapsed="false">
      <c r="A66" s="4" t="s">
        <v>134</v>
      </c>
      <c r="B66" s="4" t="s">
        <v>133</v>
      </c>
      <c r="C66" s="4" t="s">
        <v>154</v>
      </c>
      <c r="D66" s="4" t="s">
        <v>44</v>
      </c>
      <c r="E66" s="4" t="s">
        <v>155</v>
      </c>
      <c r="F66" s="4"/>
      <c r="G66" s="4"/>
      <c r="H66" s="4"/>
      <c r="I66" s="5"/>
      <c r="J66" s="5"/>
    </row>
    <row r="67" customFormat="false" ht="27.75" hidden="false" customHeight="true" outlineLevel="0" collapsed="false">
      <c r="A67" s="2" t="s">
        <v>134</v>
      </c>
      <c r="B67" s="2" t="s">
        <v>133</v>
      </c>
      <c r="C67" s="2" t="s">
        <v>156</v>
      </c>
      <c r="D67" s="2" t="s">
        <v>157</v>
      </c>
      <c r="E67" s="2"/>
      <c r="F67" s="2"/>
      <c r="G67" s="2" t="s">
        <v>158</v>
      </c>
      <c r="H67" s="2" t="s">
        <v>20</v>
      </c>
      <c r="I67" s="3" t="n">
        <v>7700</v>
      </c>
      <c r="J67" s="3" t="n">
        <f aca="false">I67*'Budget Summary'!$B$2</f>
        <v>69300</v>
      </c>
    </row>
    <row r="68" customFormat="false" ht="27.75" hidden="false" customHeight="true" outlineLevel="0" collapsed="false">
      <c r="A68" s="4" t="s">
        <v>159</v>
      </c>
      <c r="B68" s="4" t="s">
        <v>160</v>
      </c>
      <c r="C68" s="4" t="s">
        <v>161</v>
      </c>
      <c r="D68" s="4" t="s">
        <v>162</v>
      </c>
      <c r="E68" s="4" t="s">
        <v>163</v>
      </c>
      <c r="F68" s="4"/>
      <c r="G68" s="4"/>
      <c r="H68" s="4"/>
      <c r="I68" s="5"/>
      <c r="J68" s="5"/>
    </row>
    <row r="69" customFormat="false" ht="27.75" hidden="false" customHeight="true" outlineLevel="0" collapsed="false">
      <c r="A69" s="2" t="s">
        <v>164</v>
      </c>
      <c r="B69" s="2" t="s">
        <v>160</v>
      </c>
      <c r="C69" s="2" t="s">
        <v>165</v>
      </c>
      <c r="D69" s="2" t="s">
        <v>166</v>
      </c>
      <c r="E69" s="2"/>
      <c r="F69" s="2"/>
      <c r="G69" s="2"/>
      <c r="H69" s="2"/>
      <c r="I69" s="3"/>
      <c r="J69" s="3"/>
    </row>
    <row r="70" customFormat="false" ht="27.75" hidden="false" customHeight="true" outlineLevel="0" collapsed="false">
      <c r="A70" s="2" t="s">
        <v>164</v>
      </c>
      <c r="B70" s="2" t="s">
        <v>160</v>
      </c>
      <c r="C70" s="2" t="s">
        <v>167</v>
      </c>
      <c r="D70" s="2" t="s">
        <v>49</v>
      </c>
      <c r="E70" s="2"/>
      <c r="F70" s="2"/>
      <c r="G70" s="2"/>
      <c r="H70" s="2"/>
      <c r="I70" s="3"/>
      <c r="J70" s="3"/>
    </row>
    <row r="71" customFormat="false" ht="27.75" hidden="false" customHeight="true" outlineLevel="0" collapsed="false">
      <c r="A71" s="6" t="s">
        <v>164</v>
      </c>
      <c r="B71" s="6" t="s">
        <v>160</v>
      </c>
      <c r="C71" s="6" t="s">
        <v>65</v>
      </c>
      <c r="D71" s="6" t="s">
        <v>168</v>
      </c>
      <c r="E71" s="6"/>
      <c r="F71" s="6" t="s">
        <v>58</v>
      </c>
      <c r="G71" s="6"/>
      <c r="H71" s="6" t="s">
        <v>60</v>
      </c>
      <c r="I71" s="7" t="n">
        <v>600</v>
      </c>
      <c r="J71" s="7" t="n">
        <f aca="false">I71*'Budget Summary'!$B$2</f>
        <v>5400</v>
      </c>
    </row>
    <row r="72" customFormat="false" ht="27.75" hidden="false" customHeight="true" outlineLevel="0" collapsed="false">
      <c r="A72" s="2" t="s">
        <v>164</v>
      </c>
      <c r="B72" s="2" t="s">
        <v>160</v>
      </c>
      <c r="C72" s="2" t="s">
        <v>169</v>
      </c>
      <c r="D72" s="2" t="s">
        <v>170</v>
      </c>
      <c r="E72" s="2"/>
      <c r="F72" s="2"/>
      <c r="G72" s="2"/>
      <c r="H72" s="2"/>
      <c r="I72" s="3"/>
      <c r="J72" s="3"/>
    </row>
    <row r="73" customFormat="false" ht="27.75" hidden="false" customHeight="true" outlineLevel="0" collapsed="false">
      <c r="A73" s="4" t="s">
        <v>164</v>
      </c>
      <c r="B73" s="4" t="s">
        <v>160</v>
      </c>
      <c r="C73" s="4" t="s">
        <v>24</v>
      </c>
      <c r="D73" s="4" t="s">
        <v>121</v>
      </c>
      <c r="E73" s="4" t="s">
        <v>26</v>
      </c>
      <c r="F73" s="4"/>
      <c r="G73" s="4"/>
      <c r="H73" s="4"/>
      <c r="I73" s="5"/>
      <c r="J73" s="5"/>
    </row>
    <row r="74" customFormat="false" ht="27.75" hidden="false" customHeight="true" outlineLevel="0" collapsed="false">
      <c r="A74" s="6" t="s">
        <v>164</v>
      </c>
      <c r="B74" s="6" t="s">
        <v>160</v>
      </c>
      <c r="C74" s="6" t="s">
        <v>27</v>
      </c>
      <c r="D74" s="6" t="s">
        <v>171</v>
      </c>
      <c r="E74" s="6"/>
      <c r="F74" s="6" t="s">
        <v>58</v>
      </c>
      <c r="G74" s="6"/>
      <c r="H74" s="6" t="s">
        <v>60</v>
      </c>
      <c r="I74" s="7" t="n">
        <v>700</v>
      </c>
      <c r="J74" s="7" t="n">
        <f aca="false">I74*'Budget Summary'!$B$2</f>
        <v>6300</v>
      </c>
    </row>
    <row r="75" customFormat="false" ht="27.75" hidden="false" customHeight="true" outlineLevel="0" collapsed="false">
      <c r="A75" s="4" t="s">
        <v>164</v>
      </c>
      <c r="B75" s="4" t="s">
        <v>160</v>
      </c>
      <c r="C75" s="4" t="s">
        <v>33</v>
      </c>
      <c r="D75" s="4" t="s">
        <v>34</v>
      </c>
      <c r="E75" s="4" t="s">
        <v>35</v>
      </c>
      <c r="F75" s="4"/>
      <c r="G75" s="4"/>
      <c r="H75" s="4"/>
      <c r="I75" s="5"/>
      <c r="J75" s="5"/>
    </row>
    <row r="76" customFormat="false" ht="27.75" hidden="false" customHeight="true" outlineLevel="0" collapsed="false">
      <c r="A76" s="2" t="s">
        <v>164</v>
      </c>
      <c r="B76" s="2" t="s">
        <v>160</v>
      </c>
      <c r="C76" s="2" t="s">
        <v>36</v>
      </c>
      <c r="D76" s="2" t="s">
        <v>172</v>
      </c>
      <c r="E76" s="2"/>
      <c r="F76" s="2"/>
      <c r="G76" s="2"/>
      <c r="H76" s="2"/>
      <c r="I76" s="3"/>
      <c r="J76" s="3"/>
    </row>
    <row r="77" customFormat="false" ht="27.75" hidden="false" customHeight="true" outlineLevel="0" collapsed="false">
      <c r="A77" s="4" t="s">
        <v>164</v>
      </c>
      <c r="B77" s="4" t="s">
        <v>160</v>
      </c>
      <c r="C77" s="4" t="s">
        <v>38</v>
      </c>
      <c r="D77" s="4" t="s">
        <v>39</v>
      </c>
      <c r="E77" s="4" t="s">
        <v>40</v>
      </c>
      <c r="F77" s="4"/>
      <c r="G77" s="4"/>
      <c r="H77" s="4"/>
      <c r="I77" s="5"/>
      <c r="J77" s="5"/>
    </row>
    <row r="78" customFormat="false" ht="27.75" hidden="false" customHeight="true" outlineLevel="0" collapsed="false">
      <c r="A78" s="6" t="s">
        <v>164</v>
      </c>
      <c r="B78" s="6" t="s">
        <v>160</v>
      </c>
      <c r="C78" s="6" t="s">
        <v>41</v>
      </c>
      <c r="D78" s="6" t="s">
        <v>173</v>
      </c>
      <c r="E78" s="6"/>
      <c r="F78" s="6" t="s">
        <v>58</v>
      </c>
      <c r="G78" s="6"/>
      <c r="H78" s="6" t="s">
        <v>60</v>
      </c>
      <c r="I78" s="7" t="n">
        <v>700</v>
      </c>
      <c r="J78" s="7" t="n">
        <f aca="false">I78*'Budget Summary'!$B$2</f>
        <v>6300</v>
      </c>
    </row>
    <row r="79" customFormat="false" ht="27.75" hidden="false" customHeight="true" outlineLevel="0" collapsed="false">
      <c r="A79" s="4" t="s">
        <v>164</v>
      </c>
      <c r="B79" s="4" t="s">
        <v>160</v>
      </c>
      <c r="C79" s="4" t="s">
        <v>43</v>
      </c>
      <c r="D79" s="4" t="s">
        <v>44</v>
      </c>
      <c r="E79" s="4" t="s">
        <v>45</v>
      </c>
      <c r="F79" s="4"/>
      <c r="G79" s="4"/>
      <c r="H79" s="4"/>
      <c r="I79" s="5"/>
      <c r="J79" s="5"/>
    </row>
    <row r="80" customFormat="false" ht="27.75" hidden="false" customHeight="true" outlineLevel="0" collapsed="false">
      <c r="A80" s="2" t="s">
        <v>164</v>
      </c>
      <c r="B80" s="2" t="s">
        <v>160</v>
      </c>
      <c r="C80" s="2" t="s">
        <v>46</v>
      </c>
      <c r="D80" s="2" t="s">
        <v>174</v>
      </c>
      <c r="E80" s="2"/>
      <c r="F80" s="2"/>
      <c r="G80" s="2"/>
      <c r="H80" s="2"/>
      <c r="I80" s="3"/>
      <c r="J80" s="3"/>
    </row>
    <row r="81" customFormat="false" ht="27.75" hidden="false" customHeight="true" outlineLevel="0" collapsed="false">
      <c r="A81" s="2" t="s">
        <v>175</v>
      </c>
      <c r="B81" s="2" t="s">
        <v>176</v>
      </c>
      <c r="C81" s="2" t="s">
        <v>177</v>
      </c>
      <c r="D81" s="2" t="s">
        <v>178</v>
      </c>
      <c r="E81" s="2"/>
      <c r="F81" s="2"/>
      <c r="G81" s="2"/>
      <c r="H81" s="2"/>
      <c r="I81" s="3"/>
      <c r="J81" s="3"/>
    </row>
    <row r="82" customFormat="false" ht="27.75" hidden="false" customHeight="true" outlineLevel="0" collapsed="false">
      <c r="A82" s="2" t="s">
        <v>179</v>
      </c>
      <c r="B82" s="2" t="s">
        <v>176</v>
      </c>
      <c r="C82" s="2" t="s">
        <v>180</v>
      </c>
      <c r="D82" s="2" t="s">
        <v>181</v>
      </c>
      <c r="E82" s="2"/>
      <c r="F82" s="2"/>
      <c r="G82" s="2" t="s">
        <v>182</v>
      </c>
      <c r="H82" s="2" t="s">
        <v>20</v>
      </c>
      <c r="I82" s="3" t="n">
        <v>970</v>
      </c>
      <c r="J82" s="3" t="n">
        <f aca="false">I82*'Budget Summary'!$B$2</f>
        <v>8730</v>
      </c>
    </row>
    <row r="83" customFormat="false" ht="27.75" hidden="false" customHeight="true" outlineLevel="0" collapsed="false">
      <c r="A83" s="4" t="s">
        <v>179</v>
      </c>
      <c r="B83" s="4" t="s">
        <v>176</v>
      </c>
      <c r="C83" s="4" t="s">
        <v>161</v>
      </c>
      <c r="D83" s="4" t="s">
        <v>183</v>
      </c>
      <c r="E83" s="4" t="s">
        <v>163</v>
      </c>
      <c r="F83" s="4"/>
      <c r="G83" s="4"/>
      <c r="H83" s="4"/>
      <c r="I83" s="5"/>
      <c r="J83" s="5"/>
    </row>
    <row r="84" customFormat="false" ht="27.75" hidden="false" customHeight="true" outlineLevel="0" collapsed="false">
      <c r="A84" s="2" t="s">
        <v>179</v>
      </c>
      <c r="B84" s="2" t="s">
        <v>176</v>
      </c>
      <c r="C84" s="2" t="s">
        <v>184</v>
      </c>
      <c r="D84" s="2" t="s">
        <v>185</v>
      </c>
      <c r="E84" s="2"/>
      <c r="F84" s="2"/>
      <c r="G84" s="2" t="s">
        <v>186</v>
      </c>
      <c r="H84" s="2"/>
      <c r="I84" s="3"/>
      <c r="J84" s="3"/>
    </row>
    <row r="85" customFormat="false" ht="27.75" hidden="false" customHeight="true" outlineLevel="0" collapsed="false">
      <c r="A85" s="2" t="s">
        <v>179</v>
      </c>
      <c r="B85" s="2" t="s">
        <v>176</v>
      </c>
      <c r="C85" s="2" t="s">
        <v>187</v>
      </c>
      <c r="D85" s="2" t="s">
        <v>188</v>
      </c>
      <c r="E85" s="2"/>
      <c r="F85" s="2"/>
      <c r="G85" s="2"/>
      <c r="H85" s="2"/>
      <c r="I85" s="3"/>
      <c r="J85" s="3"/>
    </row>
    <row r="86" customFormat="false" ht="27.75" hidden="false" customHeight="true" outlineLevel="0" collapsed="false">
      <c r="A86" s="2" t="s">
        <v>179</v>
      </c>
      <c r="B86" s="2" t="s">
        <v>176</v>
      </c>
      <c r="C86" s="2" t="s">
        <v>189</v>
      </c>
      <c r="D86" s="2" t="s">
        <v>190</v>
      </c>
      <c r="E86" s="2"/>
      <c r="F86" s="2"/>
      <c r="G86" s="2"/>
      <c r="H86" s="2"/>
      <c r="I86" s="3"/>
      <c r="J8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true" outlineLevel="0" max="5" min="5" style="0" width="13"/>
  </cols>
  <sheetData>
    <row r="1" customFormat="false" ht="15" hidden="false" customHeight="false" outlineLevel="0" collapsed="false">
      <c r="A1" s="10" t="s">
        <v>191</v>
      </c>
    </row>
    <row r="2" customFormat="false" ht="15" hidden="false" customHeight="false" outlineLevel="0" collapsed="false">
      <c r="A2" s="11" t="s">
        <v>192</v>
      </c>
      <c r="B2" s="12" t="n">
        <v>9</v>
      </c>
      <c r="C2" s="13" t="s">
        <v>193</v>
      </c>
    </row>
    <row r="4" customFormat="false" ht="15" hidden="false" customHeight="false" outlineLevel="0" collapsed="false">
      <c r="A4" s="10" t="s">
        <v>194</v>
      </c>
    </row>
    <row r="5" customFormat="false" ht="15" hidden="false" customHeight="false" outlineLevel="0" collapsed="false">
      <c r="A5" s="1" t="s">
        <v>195</v>
      </c>
      <c r="B5" s="1" t="s">
        <v>196</v>
      </c>
      <c r="C5" s="1" t="s">
        <v>197</v>
      </c>
    </row>
    <row r="6" customFormat="false" ht="23.85" hidden="false" customHeight="false" outlineLevel="0" collapsed="false">
      <c r="A6" s="2" t="s">
        <v>198</v>
      </c>
      <c r="B6" s="3" t="n">
        <v>304000</v>
      </c>
      <c r="C6" s="2" t="s">
        <v>199</v>
      </c>
    </row>
    <row r="7" customFormat="false" ht="23.85" hidden="false" customHeight="false" outlineLevel="0" collapsed="false">
      <c r="A7" s="2" t="s">
        <v>200</v>
      </c>
      <c r="B7" s="3" t="n">
        <v>52000</v>
      </c>
      <c r="C7" s="2" t="s">
        <v>201</v>
      </c>
    </row>
    <row r="8" customFormat="false" ht="15" hidden="false" customHeight="false" outlineLevel="0" collapsed="false">
      <c r="A8" s="14" t="s">
        <v>202</v>
      </c>
      <c r="B8" s="15" t="n">
        <f aca="false">SUM(B6:B7)</f>
        <v>356000</v>
      </c>
      <c r="C8" s="14"/>
    </row>
    <row r="10" customFormat="false" ht="15" hidden="false" customHeight="false" outlineLevel="0" collapsed="false">
      <c r="A10" s="10" t="s">
        <v>203</v>
      </c>
    </row>
    <row r="11" customFormat="false" ht="15" hidden="false" customHeight="false" outlineLevel="0" collapsed="false">
      <c r="A11" s="1" t="s">
        <v>7</v>
      </c>
      <c r="B11" s="1" t="s">
        <v>204</v>
      </c>
      <c r="C11" s="1" t="s">
        <v>196</v>
      </c>
      <c r="D11" s="1" t="s">
        <v>205</v>
      </c>
    </row>
    <row r="12" customFormat="false" ht="15" hidden="false" customHeight="false" outlineLevel="0" collapsed="false">
      <c r="A12" s="2" t="s">
        <v>206</v>
      </c>
      <c r="B12" s="3" t="n">
        <f aca="false">SUMIF(Itinerary!$H$2:$H$86,E12,Itinerary!$I$2:$I$86)</f>
        <v>16340</v>
      </c>
      <c r="C12" s="3" t="n">
        <f aca="false">B12*$B$2</f>
        <v>147060</v>
      </c>
      <c r="D12" s="3" t="n">
        <f aca="false">C12*6</f>
        <v>882360</v>
      </c>
      <c r="E12" s="16" t="s">
        <v>20</v>
      </c>
    </row>
    <row r="13" customFormat="false" ht="15" hidden="false" customHeight="false" outlineLevel="0" collapsed="false">
      <c r="A13" s="2" t="s">
        <v>207</v>
      </c>
      <c r="B13" s="3" t="n">
        <f aca="false">SUMIF(Itinerary!$H$2:$H$86,E13,Itinerary!$I$2:$I$86)</f>
        <v>3500</v>
      </c>
      <c r="C13" s="3" t="n">
        <f aca="false">B13*$B$2</f>
        <v>31500</v>
      </c>
      <c r="D13" s="3" t="n">
        <f aca="false">C13*6</f>
        <v>189000</v>
      </c>
      <c r="E13" s="16" t="s">
        <v>64</v>
      </c>
    </row>
    <row r="14" customFormat="false" ht="15" hidden="false" customHeight="false" outlineLevel="0" collapsed="false">
      <c r="A14" s="2" t="s">
        <v>208</v>
      </c>
      <c r="B14" s="3" t="n">
        <f aca="false">SUMIF(Itinerary!$H$2:$H$86,E14,Itinerary!$I$2:$I$86)</f>
        <v>5000</v>
      </c>
      <c r="C14" s="3" t="n">
        <f aca="false">B14*$B$2</f>
        <v>45000</v>
      </c>
      <c r="D14" s="3" t="n">
        <f aca="false">C14*6</f>
        <v>270000</v>
      </c>
      <c r="E14" s="16" t="s">
        <v>110</v>
      </c>
    </row>
    <row r="15" customFormat="false" ht="15" hidden="false" customHeight="false" outlineLevel="0" collapsed="false">
      <c r="A15" s="2" t="s">
        <v>209</v>
      </c>
      <c r="B15" s="3" t="n">
        <f aca="false">SUMIF(Itinerary!$H$2:$H$86,E15,Itinerary!$I$2:$I$86)</f>
        <v>2500</v>
      </c>
      <c r="C15" s="3" t="n">
        <f aca="false">B15*$B$2</f>
        <v>22500</v>
      </c>
      <c r="D15" s="3" t="n">
        <f aca="false">C15*6</f>
        <v>135000</v>
      </c>
      <c r="E15" s="16" t="s">
        <v>60</v>
      </c>
    </row>
    <row r="16" customFormat="false" ht="15" hidden="false" customHeight="false" outlineLevel="0" collapsed="false">
      <c r="A16" s="2" t="s">
        <v>210</v>
      </c>
      <c r="B16" s="3" t="n">
        <f aca="false">SUMIF(Itinerary!$H$2:$H$86,E16,Itinerary!$I$2:$I$86)</f>
        <v>17000</v>
      </c>
      <c r="C16" s="3" t="n">
        <f aca="false">B16*$B$2</f>
        <v>153000</v>
      </c>
      <c r="D16" s="3" t="n">
        <f aca="false">C16*6</f>
        <v>918000</v>
      </c>
      <c r="E16" s="16" t="s">
        <v>30</v>
      </c>
    </row>
    <row r="17" customFormat="false" ht="15" hidden="false" customHeight="false" outlineLevel="0" collapsed="false">
      <c r="A17" s="2" t="s">
        <v>211</v>
      </c>
      <c r="B17" s="3" t="n">
        <f aca="false">SUMIF(Itinerary!$H$2:$H$86,E17,Itinerary!$I$2:$I$86)</f>
        <v>1000</v>
      </c>
      <c r="C17" s="3" t="n">
        <f aca="false">B17*$B$2</f>
        <v>9000</v>
      </c>
      <c r="D17" s="3" t="n">
        <f aca="false">C17*6</f>
        <v>54000</v>
      </c>
      <c r="E17" s="16" t="s">
        <v>129</v>
      </c>
    </row>
    <row r="18" customFormat="false" ht="15" hidden="false" customHeight="false" outlineLevel="0" collapsed="false">
      <c r="A18" s="2" t="s">
        <v>212</v>
      </c>
      <c r="B18" s="3" t="n">
        <f aca="false">SUMIF(Itinerary!$H$2:$H$86,E18,Itinerary!$I$2:$I$86)</f>
        <v>2000</v>
      </c>
      <c r="C18" s="3" t="n">
        <f aca="false">B18*$B$2</f>
        <v>18000</v>
      </c>
      <c r="D18" s="3" t="n">
        <f aca="false">C18*6</f>
        <v>108000</v>
      </c>
      <c r="E18" s="16" t="s">
        <v>125</v>
      </c>
    </row>
    <row r="19" customFormat="false" ht="15" hidden="false" customHeight="false" outlineLevel="0" collapsed="false">
      <c r="A19" s="14" t="s">
        <v>213</v>
      </c>
      <c r="B19" s="15" t="n">
        <f aca="false">SUM(B12:B18)</f>
        <v>47340</v>
      </c>
      <c r="C19" s="15" t="n">
        <f aca="false">SUM(C12:C18)</f>
        <v>426060</v>
      </c>
      <c r="D19" s="15" t="n">
        <f aca="false">SUM(D12:D18)</f>
        <v>2556360</v>
      </c>
    </row>
    <row r="21" customFormat="false" ht="15" hidden="false" customHeight="false" outlineLevel="0" collapsed="false">
      <c r="A21" s="2" t="s">
        <v>214</v>
      </c>
      <c r="B21" s="3" t="n">
        <v>10000</v>
      </c>
      <c r="C21" s="3" t="n">
        <f aca="false">B21*$B$2</f>
        <v>90000</v>
      </c>
      <c r="D21" s="3" t="n">
        <f aca="false">C21*6</f>
        <v>540000</v>
      </c>
    </row>
    <row r="23" customFormat="false" ht="15" hidden="false" customHeight="false" outlineLevel="0" collapsed="false">
      <c r="A23" s="10" t="s">
        <v>215</v>
      </c>
      <c r="C23" s="17" t="n">
        <f aca="false">B8+C19+C21</f>
        <v>872060</v>
      </c>
    </row>
    <row r="24" customFormat="false" ht="15" hidden="false" customHeight="false" outlineLevel="0" collapsed="false">
      <c r="A24" s="10" t="s">
        <v>216</v>
      </c>
      <c r="C24" s="17" t="n">
        <f aca="false">C23*6</f>
        <v>5232360</v>
      </c>
    </row>
    <row r="26" customFormat="false" ht="30" hidden="false" customHeight="true" outlineLevel="0" collapsed="false">
      <c r="A26" s="18" t="s">
        <v>217</v>
      </c>
      <c r="B26" s="18"/>
      <c r="C26" s="18"/>
      <c r="D26" s="18"/>
    </row>
  </sheetData>
  <mergeCells count="1"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0"/>
  </cols>
  <sheetData>
    <row r="1" customFormat="false" ht="15" hidden="false" customHeight="false" outlineLevel="0" collapsed="false">
      <c r="A1" s="19" t="s">
        <v>218</v>
      </c>
      <c r="B1" s="19"/>
      <c r="C1" s="19"/>
    </row>
    <row r="3" customFormat="false" ht="26.85" hidden="false" customHeight="false" outlineLevel="0" collapsed="false">
      <c r="A3" s="1" t="s">
        <v>219</v>
      </c>
      <c r="B3" s="1" t="s">
        <v>220</v>
      </c>
      <c r="C3" s="1" t="s">
        <v>221</v>
      </c>
    </row>
    <row r="4" customFormat="false" ht="15" hidden="false" customHeight="false" outlineLevel="0" collapsed="false">
      <c r="A4" s="2" t="s">
        <v>53</v>
      </c>
      <c r="B4" s="2" t="s">
        <v>161</v>
      </c>
      <c r="C4" s="2" t="s">
        <v>81</v>
      </c>
    </row>
    <row r="5" customFormat="false" ht="15" hidden="false" customHeight="false" outlineLevel="0" collapsed="false">
      <c r="A5" s="2" t="s">
        <v>222</v>
      </c>
      <c r="B5" s="2" t="s">
        <v>223</v>
      </c>
      <c r="C5" s="2" t="s">
        <v>224</v>
      </c>
    </row>
    <row r="6" customFormat="false" ht="15" hidden="false" customHeight="false" outlineLevel="0" collapsed="false">
      <c r="A6" s="2" t="s">
        <v>121</v>
      </c>
      <c r="B6" s="2" t="s">
        <v>225</v>
      </c>
      <c r="C6" s="2" t="s">
        <v>226</v>
      </c>
    </row>
    <row r="7" customFormat="false" ht="15" hidden="false" customHeight="false" outlineLevel="0" collapsed="false">
      <c r="A7" s="2" t="s">
        <v>34</v>
      </c>
      <c r="B7" s="2" t="s">
        <v>227</v>
      </c>
      <c r="C7" s="2" t="s">
        <v>228</v>
      </c>
    </row>
    <row r="8" customFormat="false" ht="15" hidden="false" customHeight="false" outlineLevel="0" collapsed="false">
      <c r="A8" s="2" t="s">
        <v>39</v>
      </c>
      <c r="B8" s="2" t="s">
        <v>229</v>
      </c>
      <c r="C8" s="2" t="s">
        <v>230</v>
      </c>
    </row>
    <row r="9" customFormat="false" ht="15" hidden="false" customHeight="false" outlineLevel="0" collapsed="false">
      <c r="A9" s="2" t="s">
        <v>44</v>
      </c>
      <c r="B9" s="2" t="s">
        <v>231</v>
      </c>
      <c r="C9" s="2" t="s">
        <v>232</v>
      </c>
    </row>
    <row r="11" customFormat="false" ht="22.35" hidden="false" customHeight="true" outlineLevel="0" collapsed="false">
      <c r="A11" s="20" t="s">
        <v>233</v>
      </c>
      <c r="B11" s="20"/>
      <c r="C11" s="20"/>
    </row>
    <row r="13" customFormat="false" ht="45" hidden="false" customHeight="true" outlineLevel="0" collapsed="false">
      <c r="A13" s="21" t="s">
        <v>234</v>
      </c>
      <c r="B13" s="21"/>
      <c r="C13" s="21"/>
    </row>
  </sheetData>
  <mergeCells count="3">
    <mergeCell ref="A1:C1"/>
    <mergeCell ref="A11:C1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2026-09-22T06:06:16Z</dcterms:created>
  <dc:creator>openpyxl</dc:creator>
  <dc:description/>
  <dc:language>en-US</dc:language>
  <cp:lastModifiedBy/>
  <dcterms:modified xsi:type="dcterms:W3CDTF">2026-09-22T06:06:16Z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